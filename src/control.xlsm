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Youtube\BloonsTD6_BOT\src\"/>
    </mc:Choice>
  </mc:AlternateContent>
  <xr:revisionPtr revIDLastSave="0" documentId="13_ncr:1_{2426DE25-0943-4D68-B08D-729B9C80ABBA}" xr6:coauthVersionLast="47" xr6:coauthVersionMax="47" xr10:uidLastSave="{00000000-0000-0000-0000-000000000000}"/>
  <bookViews>
    <workbookView xWindow="15495" yWindow="765" windowWidth="13245" windowHeight="14715" xr2:uid="{00000000-000D-0000-FFFF-FFFF00000000}"/>
  </bookViews>
  <sheets>
    <sheet name="playground" sheetId="1" r:id="rId1"/>
    <sheet name="playground_helper" sheetId="2" r:id="rId2"/>
    <sheet name="income" sheetId="3" r:id="rId3"/>
    <sheet name="expense" sheetId="4" r:id="rId4"/>
    <sheet name="actions" sheetId="5" r:id="rId5"/>
    <sheet name="values" sheetId="6" r:id="rId6"/>
  </sheets>
  <calcPr calcId="191029"/>
</workbook>
</file>

<file path=xl/calcChain.xml><?xml version="1.0" encoding="utf-8"?>
<calcChain xmlns="http://schemas.openxmlformats.org/spreadsheetml/2006/main">
  <c r="F2" i="2" l="1"/>
  <c r="B15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36" i="1"/>
  <c r="B35" i="1"/>
  <c r="B34" i="1"/>
  <c r="B23" i="1"/>
  <c r="B24" i="1"/>
  <c r="B25" i="1"/>
  <c r="B26" i="1"/>
  <c r="B27" i="1"/>
  <c r="B28" i="1"/>
  <c r="B29" i="1"/>
  <c r="B30" i="1"/>
  <c r="B31" i="1"/>
  <c r="B32" i="1"/>
  <c r="B33" i="1"/>
  <c r="B22" i="1"/>
  <c r="B21" i="1"/>
  <c r="B20" i="1"/>
  <c r="B19" i="1"/>
  <c r="B18" i="1"/>
  <c r="B17" i="1"/>
  <c r="B16" i="1"/>
  <c r="B3" i="2"/>
  <c r="C3" i="2" s="1"/>
  <c r="B4" i="2"/>
  <c r="C4" i="2" s="1"/>
  <c r="B5" i="2"/>
  <c r="C5" i="2" s="1"/>
  <c r="B6" i="2"/>
  <c r="D6" i="2" s="1"/>
  <c r="B7" i="2"/>
  <c r="C7" i="2" s="1"/>
  <c r="B8" i="2"/>
  <c r="C8" i="2" s="1"/>
  <c r="B9" i="2"/>
  <c r="C9" i="2" s="1"/>
  <c r="B10" i="2"/>
  <c r="D10" i="2" s="1"/>
  <c r="B11" i="2"/>
  <c r="C11" i="2" s="1"/>
  <c r="B12" i="2"/>
  <c r="C12" i="2" s="1"/>
  <c r="B13" i="2"/>
  <c r="C13" i="2" s="1"/>
  <c r="B14" i="2"/>
  <c r="D14" i="2" s="1"/>
  <c r="B15" i="2"/>
  <c r="C15" i="2" s="1"/>
  <c r="B16" i="2"/>
  <c r="C16" i="2" s="1"/>
  <c r="B17" i="2"/>
  <c r="C17" i="2" s="1"/>
  <c r="B18" i="2"/>
  <c r="D18" i="2" s="1"/>
  <c r="B19" i="2"/>
  <c r="C19" i="2" s="1"/>
  <c r="B20" i="2"/>
  <c r="C20" i="2" s="1"/>
  <c r="B21" i="2"/>
  <c r="C21" i="2" s="1"/>
  <c r="B22" i="2"/>
  <c r="D22" i="2" s="1"/>
  <c r="B23" i="2"/>
  <c r="C23" i="2" s="1"/>
  <c r="B24" i="2"/>
  <c r="C24" i="2" s="1"/>
  <c r="B25" i="2"/>
  <c r="C25" i="2" s="1"/>
  <c r="B26" i="2"/>
  <c r="D26" i="2" s="1"/>
  <c r="B27" i="2"/>
  <c r="C27" i="2" s="1"/>
  <c r="B28" i="2"/>
  <c r="C28" i="2" s="1"/>
  <c r="B29" i="2"/>
  <c r="C29" i="2" s="1"/>
  <c r="B30" i="2"/>
  <c r="D30" i="2" s="1"/>
  <c r="B31" i="2"/>
  <c r="C31" i="2" s="1"/>
  <c r="B32" i="2"/>
  <c r="C32" i="2" s="1"/>
  <c r="B33" i="2"/>
  <c r="C33" i="2" s="1"/>
  <c r="B34" i="2"/>
  <c r="D34" i="2" s="1"/>
  <c r="B35" i="2"/>
  <c r="C35" i="2" s="1"/>
  <c r="B36" i="2"/>
  <c r="C36" i="2" s="1"/>
  <c r="B37" i="2"/>
  <c r="C37" i="2" s="1"/>
  <c r="B38" i="2"/>
  <c r="D38" i="2" s="1"/>
  <c r="B39" i="2"/>
  <c r="C39" i="2" s="1"/>
  <c r="B40" i="2"/>
  <c r="C40" i="2" s="1"/>
  <c r="B41" i="2"/>
  <c r="C41" i="2" s="1"/>
  <c r="B42" i="2"/>
  <c r="D42" i="2" s="1"/>
  <c r="B43" i="2"/>
  <c r="C43" i="2" s="1"/>
  <c r="B44" i="2"/>
  <c r="C44" i="2" s="1"/>
  <c r="B45" i="2"/>
  <c r="C45" i="2" s="1"/>
  <c r="B46" i="2"/>
  <c r="D46" i="2" s="1"/>
  <c r="B47" i="2"/>
  <c r="C47" i="2" s="1"/>
  <c r="B48" i="2"/>
  <c r="C48" i="2" s="1"/>
  <c r="B49" i="2"/>
  <c r="C49" i="2" s="1"/>
  <c r="B50" i="2"/>
  <c r="D50" i="2" s="1"/>
  <c r="B51" i="2"/>
  <c r="C51" i="2" s="1"/>
  <c r="B52" i="2"/>
  <c r="C52" i="2" s="1"/>
  <c r="B53" i="2"/>
  <c r="C53" i="2" s="1"/>
  <c r="B54" i="2"/>
  <c r="D54" i="2" s="1"/>
  <c r="B55" i="2"/>
  <c r="C55" i="2" s="1"/>
  <c r="B56" i="2"/>
  <c r="C56" i="2" s="1"/>
  <c r="B57" i="2"/>
  <c r="C57" i="2" s="1"/>
  <c r="B58" i="2"/>
  <c r="D58" i="2" s="1"/>
  <c r="B59" i="2"/>
  <c r="C59" i="2" s="1"/>
  <c r="B60" i="2"/>
  <c r="C60" i="2" s="1"/>
  <c r="B61" i="2"/>
  <c r="C61" i="2" s="1"/>
  <c r="B62" i="2"/>
  <c r="D62" i="2" s="1"/>
  <c r="B63" i="2"/>
  <c r="C63" i="2" s="1"/>
  <c r="B64" i="2"/>
  <c r="C64" i="2" s="1"/>
  <c r="B65" i="2"/>
  <c r="C65" i="2" s="1"/>
  <c r="B66" i="2"/>
  <c r="D66" i="2" s="1"/>
  <c r="B67" i="2"/>
  <c r="C67" i="2" s="1"/>
  <c r="B68" i="2"/>
  <c r="C68" i="2" s="1"/>
  <c r="B69" i="2"/>
  <c r="C69" i="2" s="1"/>
  <c r="B70" i="2"/>
  <c r="D70" i="2" s="1"/>
  <c r="B71" i="2"/>
  <c r="C71" i="2" s="1"/>
  <c r="B72" i="2"/>
  <c r="C72" i="2" s="1"/>
  <c r="B73" i="2"/>
  <c r="C73" i="2" s="1"/>
  <c r="B74" i="2"/>
  <c r="D74" i="2" s="1"/>
  <c r="B75" i="2"/>
  <c r="C75" i="2" s="1"/>
  <c r="B76" i="2"/>
  <c r="C76" i="2" s="1"/>
  <c r="B77" i="2"/>
  <c r="B78" i="2"/>
  <c r="D78" i="2" s="1"/>
  <c r="B79" i="2"/>
  <c r="C79" i="2" s="1"/>
  <c r="B80" i="2"/>
  <c r="C80" i="2" s="1"/>
  <c r="B81" i="2"/>
  <c r="C81" i="2" s="1"/>
  <c r="B82" i="2"/>
  <c r="D82" i="2" s="1"/>
  <c r="B83" i="2"/>
  <c r="C83" i="2" s="1"/>
  <c r="B84" i="2"/>
  <c r="C84" i="2" s="1"/>
  <c r="B85" i="2"/>
  <c r="C85" i="2" s="1"/>
  <c r="B86" i="2"/>
  <c r="D86" i="2" s="1"/>
  <c r="B87" i="2"/>
  <c r="C87" i="2" s="1"/>
  <c r="B88" i="2"/>
  <c r="C88" i="2" s="1"/>
  <c r="B89" i="2"/>
  <c r="C89" i="2" s="1"/>
  <c r="B90" i="2"/>
  <c r="D90" i="2" s="1"/>
  <c r="B91" i="2"/>
  <c r="C91" i="2" s="1"/>
  <c r="B92" i="2"/>
  <c r="C92" i="2" s="1"/>
  <c r="B93" i="2"/>
  <c r="C93" i="2" s="1"/>
  <c r="B94" i="2"/>
  <c r="D94" i="2" s="1"/>
  <c r="B95" i="2"/>
  <c r="C95" i="2" s="1"/>
  <c r="B96" i="2"/>
  <c r="C96" i="2" s="1"/>
  <c r="B97" i="2"/>
  <c r="C97" i="2" s="1"/>
  <c r="B98" i="2"/>
  <c r="D98" i="2" s="1"/>
  <c r="B99" i="2"/>
  <c r="C99" i="2" s="1"/>
  <c r="B100" i="2"/>
  <c r="C100" i="2" s="1"/>
  <c r="B101" i="2"/>
  <c r="C101" i="2" s="1"/>
  <c r="B102" i="2"/>
  <c r="D102" i="2" s="1"/>
  <c r="B103" i="2"/>
  <c r="C103" i="2" s="1"/>
  <c r="B104" i="2"/>
  <c r="C104" i="2" s="1"/>
  <c r="B105" i="2"/>
  <c r="C105" i="2" s="1"/>
  <c r="B106" i="2"/>
  <c r="D106" i="2" s="1"/>
  <c r="B107" i="2"/>
  <c r="C107" i="2" s="1"/>
  <c r="B108" i="2"/>
  <c r="C108" i="2" s="1"/>
  <c r="B109" i="2"/>
  <c r="C109" i="2" s="1"/>
  <c r="B110" i="2"/>
  <c r="D110" i="2" s="1"/>
  <c r="B111" i="2"/>
  <c r="C111" i="2" s="1"/>
  <c r="B112" i="2"/>
  <c r="C112" i="2" s="1"/>
  <c r="B113" i="2"/>
  <c r="C113" i="2" s="1"/>
  <c r="B114" i="2"/>
  <c r="D114" i="2" s="1"/>
  <c r="B115" i="2"/>
  <c r="C115" i="2" s="1"/>
  <c r="B116" i="2"/>
  <c r="C116" i="2" s="1"/>
  <c r="B117" i="2"/>
  <c r="C117" i="2" s="1"/>
  <c r="B118" i="2"/>
  <c r="D118" i="2" s="1"/>
  <c r="B119" i="2"/>
  <c r="C119" i="2" s="1"/>
  <c r="B120" i="2"/>
  <c r="C120" i="2" s="1"/>
  <c r="B121" i="2"/>
  <c r="C121" i="2" s="1"/>
  <c r="B122" i="2"/>
  <c r="D122" i="2" s="1"/>
  <c r="B123" i="2"/>
  <c r="C123" i="2" s="1"/>
  <c r="B124" i="2"/>
  <c r="C124" i="2" s="1"/>
  <c r="B125" i="2"/>
  <c r="C125" i="2" s="1"/>
  <c r="B126" i="2"/>
  <c r="D126" i="2" s="1"/>
  <c r="B127" i="2"/>
  <c r="C127" i="2" s="1"/>
  <c r="B128" i="2"/>
  <c r="C128" i="2" s="1"/>
  <c r="B129" i="2"/>
  <c r="C129" i="2" s="1"/>
  <c r="B130" i="2"/>
  <c r="D130" i="2" s="1"/>
  <c r="B131" i="2"/>
  <c r="C131" i="2" s="1"/>
  <c r="B132" i="2"/>
  <c r="C132" i="2" s="1"/>
  <c r="B133" i="2"/>
  <c r="C133" i="2" s="1"/>
  <c r="B134" i="2"/>
  <c r="D134" i="2" s="1"/>
  <c r="B135" i="2"/>
  <c r="C135" i="2" s="1"/>
  <c r="B136" i="2"/>
  <c r="C136" i="2" s="1"/>
  <c r="B137" i="2"/>
  <c r="C137" i="2" s="1"/>
  <c r="B138" i="2"/>
  <c r="D138" i="2" s="1"/>
  <c r="B139" i="2"/>
  <c r="C139" i="2" s="1"/>
  <c r="B140" i="2"/>
  <c r="C140" i="2" s="1"/>
  <c r="B141" i="2"/>
  <c r="B142" i="2"/>
  <c r="D142" i="2" s="1"/>
  <c r="B2" i="2"/>
  <c r="C2" i="2" s="1"/>
  <c r="E13" i="2" l="1"/>
  <c r="D15" i="1"/>
  <c r="E109" i="2"/>
  <c r="C106" i="2"/>
  <c r="C42" i="2"/>
  <c r="C66" i="2"/>
  <c r="C141" i="2"/>
  <c r="E141" i="2"/>
  <c r="C77" i="2"/>
  <c r="E77" i="2"/>
  <c r="C130" i="2"/>
  <c r="E85" i="2"/>
  <c r="C10" i="2"/>
  <c r="C138" i="2"/>
  <c r="C98" i="2"/>
  <c r="E53" i="2"/>
  <c r="E21" i="2"/>
  <c r="C34" i="2"/>
  <c r="E117" i="2"/>
  <c r="C74" i="2"/>
  <c r="E45" i="2"/>
  <c r="E129" i="2"/>
  <c r="C118" i="2"/>
  <c r="E97" i="2"/>
  <c r="C86" i="2"/>
  <c r="E65" i="2"/>
  <c r="C54" i="2"/>
  <c r="E33" i="2"/>
  <c r="C22" i="2"/>
  <c r="E137" i="2"/>
  <c r="C126" i="2"/>
  <c r="E105" i="2"/>
  <c r="C94" i="2"/>
  <c r="E73" i="2"/>
  <c r="C62" i="2"/>
  <c r="E41" i="2"/>
  <c r="C30" i="2"/>
  <c r="E9" i="2"/>
  <c r="E125" i="2"/>
  <c r="C114" i="2"/>
  <c r="E93" i="2"/>
  <c r="C82" i="2"/>
  <c r="E61" i="2"/>
  <c r="C50" i="2"/>
  <c r="E29" i="2"/>
  <c r="C18" i="2"/>
  <c r="C134" i="2"/>
  <c r="E113" i="2"/>
  <c r="C102" i="2"/>
  <c r="E81" i="2"/>
  <c r="C70" i="2"/>
  <c r="E49" i="2"/>
  <c r="C38" i="2"/>
  <c r="E17" i="2"/>
  <c r="C6" i="2"/>
  <c r="E133" i="2"/>
  <c r="C122" i="2"/>
  <c r="E101" i="2"/>
  <c r="C90" i="2"/>
  <c r="E69" i="2"/>
  <c r="C58" i="2"/>
  <c r="E37" i="2"/>
  <c r="C26" i="2"/>
  <c r="E5" i="2"/>
  <c r="C142" i="2"/>
  <c r="E121" i="2"/>
  <c r="C110" i="2"/>
  <c r="E89" i="2"/>
  <c r="C78" i="2"/>
  <c r="E57" i="2"/>
  <c r="C46" i="2"/>
  <c r="E25" i="2"/>
  <c r="C14" i="2"/>
  <c r="E2" i="2"/>
  <c r="D2" i="2"/>
  <c r="G2" i="2" s="1"/>
  <c r="E142" i="2"/>
  <c r="E138" i="2"/>
  <c r="E134" i="2"/>
  <c r="E130" i="2"/>
  <c r="E126" i="2"/>
  <c r="E122" i="2"/>
  <c r="E118" i="2"/>
  <c r="E114" i="2"/>
  <c r="E110" i="2"/>
  <c r="E106" i="2"/>
  <c r="E102" i="2"/>
  <c r="E98" i="2"/>
  <c r="E94" i="2"/>
  <c r="E90" i="2"/>
  <c r="E86" i="2"/>
  <c r="E82" i="2"/>
  <c r="E78" i="2"/>
  <c r="E74" i="2"/>
  <c r="E70" i="2"/>
  <c r="E66" i="2"/>
  <c r="E62" i="2"/>
  <c r="E58" i="2"/>
  <c r="E54" i="2"/>
  <c r="E50" i="2"/>
  <c r="E46" i="2"/>
  <c r="E42" i="2"/>
  <c r="E38" i="2"/>
  <c r="E34" i="2"/>
  <c r="E30" i="2"/>
  <c r="E26" i="2"/>
  <c r="E22" i="2"/>
  <c r="E18" i="2"/>
  <c r="E14" i="2"/>
  <c r="E10" i="2"/>
  <c r="E6" i="2"/>
  <c r="D141" i="2"/>
  <c r="D137" i="2"/>
  <c r="D133" i="2"/>
  <c r="D129" i="2"/>
  <c r="D125" i="2"/>
  <c r="D121" i="2"/>
  <c r="D117" i="2"/>
  <c r="D113" i="2"/>
  <c r="D109" i="2"/>
  <c r="D105" i="2"/>
  <c r="D101" i="2"/>
  <c r="D97" i="2"/>
  <c r="D93" i="2"/>
  <c r="D89" i="2"/>
  <c r="D85" i="2"/>
  <c r="D81" i="2"/>
  <c r="D77" i="2"/>
  <c r="D73" i="2"/>
  <c r="D69" i="2"/>
  <c r="D65" i="2"/>
  <c r="D61" i="2"/>
  <c r="D57" i="2"/>
  <c r="D53" i="2"/>
  <c r="D49" i="2"/>
  <c r="D45" i="2"/>
  <c r="D41" i="2"/>
  <c r="D37" i="2"/>
  <c r="D33" i="2"/>
  <c r="D29" i="2"/>
  <c r="D25" i="2"/>
  <c r="D21" i="2"/>
  <c r="D17" i="2"/>
  <c r="D13" i="2"/>
  <c r="D9" i="2"/>
  <c r="D5" i="2"/>
  <c r="E140" i="2"/>
  <c r="E136" i="2"/>
  <c r="E132" i="2"/>
  <c r="E128" i="2"/>
  <c r="E124" i="2"/>
  <c r="E120" i="2"/>
  <c r="E116" i="2"/>
  <c r="E112" i="2"/>
  <c r="E108" i="2"/>
  <c r="E104" i="2"/>
  <c r="E100" i="2"/>
  <c r="E96" i="2"/>
  <c r="E92" i="2"/>
  <c r="E88" i="2"/>
  <c r="E84" i="2"/>
  <c r="E80" i="2"/>
  <c r="E76" i="2"/>
  <c r="E72" i="2"/>
  <c r="E68" i="2"/>
  <c r="E64" i="2"/>
  <c r="E60" i="2"/>
  <c r="E56" i="2"/>
  <c r="E52" i="2"/>
  <c r="E48" i="2"/>
  <c r="E44" i="2"/>
  <c r="E40" i="2"/>
  <c r="E36" i="2"/>
  <c r="E32" i="2"/>
  <c r="E28" i="2"/>
  <c r="E24" i="2"/>
  <c r="E20" i="2"/>
  <c r="E16" i="2"/>
  <c r="E12" i="2"/>
  <c r="E8" i="2"/>
  <c r="E4" i="2"/>
  <c r="D140" i="2"/>
  <c r="D136" i="2"/>
  <c r="D132" i="2"/>
  <c r="D128" i="2"/>
  <c r="D124" i="2"/>
  <c r="D120" i="2"/>
  <c r="D116" i="2"/>
  <c r="D112" i="2"/>
  <c r="D108" i="2"/>
  <c r="D104" i="2"/>
  <c r="D100" i="2"/>
  <c r="D96" i="2"/>
  <c r="D92" i="2"/>
  <c r="D88" i="2"/>
  <c r="D84" i="2"/>
  <c r="D80" i="2"/>
  <c r="D76" i="2"/>
  <c r="D72" i="2"/>
  <c r="D68" i="2"/>
  <c r="D64" i="2"/>
  <c r="D60" i="2"/>
  <c r="D56" i="2"/>
  <c r="D52" i="2"/>
  <c r="D48" i="2"/>
  <c r="D44" i="2"/>
  <c r="D40" i="2"/>
  <c r="D36" i="2"/>
  <c r="D32" i="2"/>
  <c r="D28" i="2"/>
  <c r="D24" i="2"/>
  <c r="D20" i="2"/>
  <c r="D16" i="2"/>
  <c r="D12" i="2"/>
  <c r="D8" i="2"/>
  <c r="D4" i="2"/>
  <c r="E139" i="2"/>
  <c r="E135" i="2"/>
  <c r="E131" i="2"/>
  <c r="E127" i="2"/>
  <c r="E123" i="2"/>
  <c r="E119" i="2"/>
  <c r="E115" i="2"/>
  <c r="E111" i="2"/>
  <c r="E107" i="2"/>
  <c r="E103" i="2"/>
  <c r="E99" i="2"/>
  <c r="E95" i="2"/>
  <c r="E91" i="2"/>
  <c r="E87" i="2"/>
  <c r="E83" i="2"/>
  <c r="E79" i="2"/>
  <c r="E75" i="2"/>
  <c r="E71" i="2"/>
  <c r="E67" i="2"/>
  <c r="E63" i="2"/>
  <c r="E59" i="2"/>
  <c r="E55" i="2"/>
  <c r="E51" i="2"/>
  <c r="E47" i="2"/>
  <c r="E43" i="2"/>
  <c r="E39" i="2"/>
  <c r="E35" i="2"/>
  <c r="E31" i="2"/>
  <c r="E27" i="2"/>
  <c r="E23" i="2"/>
  <c r="E19" i="2"/>
  <c r="E15" i="2"/>
  <c r="E11" i="2"/>
  <c r="E7" i="2"/>
  <c r="E3" i="2"/>
  <c r="D139" i="2"/>
  <c r="D135" i="2"/>
  <c r="D131" i="2"/>
  <c r="D127" i="2"/>
  <c r="D123" i="2"/>
  <c r="D119" i="2"/>
  <c r="D115" i="2"/>
  <c r="D111" i="2"/>
  <c r="D107" i="2"/>
  <c r="D103" i="2"/>
  <c r="D99" i="2"/>
  <c r="D95" i="2"/>
  <c r="D91" i="2"/>
  <c r="D87" i="2"/>
  <c r="D83" i="2"/>
  <c r="D79" i="2"/>
  <c r="D75" i="2"/>
  <c r="D71" i="2"/>
  <c r="D67" i="2"/>
  <c r="D63" i="2"/>
  <c r="D59" i="2"/>
  <c r="D55" i="2"/>
  <c r="D51" i="2"/>
  <c r="D47" i="2"/>
  <c r="D43" i="2"/>
  <c r="D39" i="2"/>
  <c r="D35" i="2"/>
  <c r="D31" i="2"/>
  <c r="D27" i="2"/>
  <c r="D23" i="2"/>
  <c r="D19" i="2"/>
  <c r="D15" i="2"/>
  <c r="D11" i="2"/>
  <c r="D7" i="2"/>
  <c r="D3" i="2"/>
  <c r="D16" i="1"/>
  <c r="H3" i="2" l="1"/>
  <c r="L116" i="2"/>
  <c r="I128" i="2"/>
  <c r="J16" i="2"/>
  <c r="M73" i="2"/>
  <c r="G21" i="2"/>
  <c r="H55" i="2"/>
  <c r="I64" i="2"/>
  <c r="J105" i="2"/>
  <c r="L107" i="2"/>
  <c r="I112" i="2"/>
  <c r="K34" i="2"/>
  <c r="K121" i="2"/>
  <c r="L9" i="2"/>
  <c r="J21" i="2"/>
  <c r="M142" i="2"/>
  <c r="I95" i="2"/>
  <c r="K86" i="2"/>
  <c r="G96" i="2"/>
  <c r="H39" i="2"/>
  <c r="I7" i="2"/>
  <c r="G12" i="2"/>
  <c r="J53" i="2"/>
  <c r="H33" i="2"/>
  <c r="L3" i="2"/>
  <c r="G20" i="2"/>
  <c r="K118" i="2"/>
  <c r="G128" i="2"/>
  <c r="K16" i="2"/>
  <c r="G58" i="2"/>
  <c r="L37" i="2"/>
  <c r="I8" i="2"/>
  <c r="K24" i="2"/>
  <c r="H123" i="2"/>
  <c r="K132" i="2"/>
  <c r="K48" i="2"/>
  <c r="G90" i="2"/>
  <c r="L69" i="2"/>
  <c r="I40" i="2"/>
  <c r="K56" i="2"/>
  <c r="H114" i="2"/>
  <c r="J18" i="2"/>
  <c r="M68" i="2"/>
  <c r="I74" i="2"/>
  <c r="M44" i="2"/>
  <c r="H61" i="2"/>
  <c r="L118" i="2"/>
  <c r="G23" i="2"/>
  <c r="M76" i="2"/>
  <c r="H93" i="2"/>
  <c r="M15" i="2"/>
  <c r="G55" i="2"/>
  <c r="I23" i="2"/>
  <c r="M27" i="2"/>
  <c r="K108" i="2"/>
  <c r="L75" i="2"/>
  <c r="M43" i="2"/>
  <c r="L89" i="2"/>
  <c r="H131" i="2"/>
  <c r="I122" i="2"/>
  <c r="J81" i="2"/>
  <c r="L97" i="2"/>
  <c r="J20" i="2"/>
  <c r="K59" i="2"/>
  <c r="H53" i="2"/>
  <c r="H71" i="2"/>
  <c r="K126" i="2"/>
  <c r="L91" i="2"/>
  <c r="G53" i="2"/>
  <c r="L121" i="2"/>
  <c r="M7" i="2"/>
  <c r="G31" i="2"/>
  <c r="J113" i="2"/>
  <c r="L129" i="2"/>
  <c r="J52" i="2"/>
  <c r="K91" i="2"/>
  <c r="K94" i="2"/>
  <c r="H85" i="2"/>
  <c r="M100" i="2"/>
  <c r="K57" i="2"/>
  <c r="M130" i="2"/>
  <c r="J12" i="2"/>
  <c r="K35" i="2"/>
  <c r="G118" i="2"/>
  <c r="I134" i="2"/>
  <c r="G57" i="2"/>
  <c r="H96" i="2"/>
  <c r="M59" i="2"/>
  <c r="L32" i="2"/>
  <c r="J44" i="2"/>
  <c r="K67" i="2"/>
  <c r="H118" i="2"/>
  <c r="L24" i="2"/>
  <c r="G89" i="2"/>
  <c r="H128" i="2"/>
  <c r="J64" i="2"/>
  <c r="I37" i="2"/>
  <c r="G49" i="2"/>
  <c r="H72" i="2"/>
  <c r="I127" i="2"/>
  <c r="I29" i="2"/>
  <c r="K93" i="2"/>
  <c r="J80" i="2"/>
  <c r="I69" i="2"/>
  <c r="G81" i="2"/>
  <c r="H104" i="2"/>
  <c r="K17" i="2"/>
  <c r="M8" i="2"/>
  <c r="I18" i="2"/>
  <c r="K85" i="2"/>
  <c r="L108" i="2"/>
  <c r="H22" i="2"/>
  <c r="J13" i="2"/>
  <c r="M22" i="2"/>
  <c r="J137" i="2"/>
  <c r="M105" i="2"/>
  <c r="K117" i="2"/>
  <c r="L140" i="2"/>
  <c r="H54" i="2"/>
  <c r="J45" i="2"/>
  <c r="M54" i="2"/>
  <c r="L27" i="2"/>
  <c r="G142" i="2"/>
  <c r="J96" i="2"/>
  <c r="J110" i="2"/>
  <c r="H122" i="2"/>
  <c r="L58" i="2"/>
  <c r="G50" i="2"/>
  <c r="J59" i="2"/>
  <c r="K89" i="2"/>
  <c r="K18" i="2"/>
  <c r="H94" i="2"/>
  <c r="I32" i="2"/>
  <c r="G101" i="2"/>
  <c r="M16" i="2"/>
  <c r="J131" i="2"/>
  <c r="L90" i="2"/>
  <c r="G82" i="2"/>
  <c r="J91" i="2"/>
  <c r="M36" i="2"/>
  <c r="J73" i="2"/>
  <c r="G110" i="2"/>
  <c r="G117" i="2"/>
  <c r="K25" i="2"/>
  <c r="H62" i="2"/>
  <c r="L98" i="2"/>
  <c r="I14" i="2"/>
  <c r="M50" i="2"/>
  <c r="J87" i="2"/>
  <c r="G124" i="2"/>
  <c r="G35" i="2"/>
  <c r="K71" i="2"/>
  <c r="H108" i="2"/>
  <c r="H19" i="2"/>
  <c r="L55" i="2"/>
  <c r="I92" i="2"/>
  <c r="M128" i="2"/>
  <c r="H10" i="2"/>
  <c r="L46" i="2"/>
  <c r="I83" i="2"/>
  <c r="M119" i="2"/>
  <c r="I138" i="2"/>
  <c r="J35" i="2"/>
  <c r="G72" i="2"/>
  <c r="H113" i="2"/>
  <c r="I33" i="2"/>
  <c r="M69" i="2"/>
  <c r="J106" i="2"/>
  <c r="H2" i="2"/>
  <c r="G6" i="2"/>
  <c r="K42" i="2"/>
  <c r="H79" i="2"/>
  <c r="L115" i="2"/>
  <c r="L122" i="2"/>
  <c r="M19" i="2"/>
  <c r="J56" i="2"/>
  <c r="G93" i="2"/>
  <c r="I22" i="2"/>
  <c r="M58" i="2"/>
  <c r="J95" i="2"/>
  <c r="G132" i="2"/>
  <c r="G27" i="2"/>
  <c r="H11" i="2"/>
  <c r="L47" i="2"/>
  <c r="I84" i="2"/>
  <c r="M120" i="2"/>
  <c r="J116" i="2"/>
  <c r="H18" i="2"/>
  <c r="L54" i="2"/>
  <c r="I91" i="2"/>
  <c r="K20" i="2"/>
  <c r="H57" i="2"/>
  <c r="L93" i="2"/>
  <c r="I130" i="2"/>
  <c r="L20" i="2"/>
  <c r="I57" i="2"/>
  <c r="M93" i="2"/>
  <c r="J130" i="2"/>
  <c r="L132" i="2"/>
  <c r="J41" i="2"/>
  <c r="G78" i="2"/>
  <c r="K114" i="2"/>
  <c r="M123" i="2"/>
  <c r="H30" i="2"/>
  <c r="L66" i="2"/>
  <c r="I103" i="2"/>
  <c r="M18" i="2"/>
  <c r="J55" i="2"/>
  <c r="G92" i="2"/>
  <c r="G3" i="2"/>
  <c r="K39" i="2"/>
  <c r="H76" i="2"/>
  <c r="L112" i="2"/>
  <c r="L23" i="2"/>
  <c r="I60" i="2"/>
  <c r="M96" i="2"/>
  <c r="J133" i="2"/>
  <c r="L14" i="2"/>
  <c r="I51" i="2"/>
  <c r="M87" i="2"/>
  <c r="J124" i="2"/>
  <c r="J3" i="2"/>
  <c r="G40" i="2"/>
  <c r="K76" i="2"/>
  <c r="G136" i="2"/>
  <c r="M37" i="2"/>
  <c r="J74" i="2"/>
  <c r="G111" i="2"/>
  <c r="K10" i="2"/>
  <c r="H47" i="2"/>
  <c r="L83" i="2"/>
  <c r="I120" i="2"/>
  <c r="M131" i="2"/>
  <c r="J24" i="2"/>
  <c r="G61" i="2"/>
  <c r="K97" i="2"/>
  <c r="M26" i="2"/>
  <c r="J63" i="2"/>
  <c r="G100" i="2"/>
  <c r="K136" i="2"/>
  <c r="K31" i="2"/>
  <c r="L15" i="2"/>
  <c r="I52" i="2"/>
  <c r="M88" i="2"/>
  <c r="J125" i="2"/>
  <c r="I123" i="2"/>
  <c r="L22" i="2"/>
  <c r="I59" i="2"/>
  <c r="M95" i="2"/>
  <c r="H25" i="2"/>
  <c r="L61" i="2"/>
  <c r="I98" i="2"/>
  <c r="M134" i="2"/>
  <c r="I25" i="2"/>
  <c r="M61" i="2"/>
  <c r="J98" i="2"/>
  <c r="G135" i="2"/>
  <c r="L57" i="2"/>
  <c r="H99" i="2"/>
  <c r="H90" i="2"/>
  <c r="M78" i="2"/>
  <c r="H40" i="2"/>
  <c r="I113" i="2"/>
  <c r="M12" i="2"/>
  <c r="J49" i="2"/>
  <c r="G86" i="2"/>
  <c r="K122" i="2"/>
  <c r="J136" i="2"/>
  <c r="L26" i="2"/>
  <c r="I63" i="2"/>
  <c r="M99" i="2"/>
  <c r="H29" i="2"/>
  <c r="L65" i="2"/>
  <c r="I102" i="2"/>
  <c r="M138" i="2"/>
  <c r="M33" i="2"/>
  <c r="G18" i="2"/>
  <c r="K54" i="2"/>
  <c r="H91" i="2"/>
  <c r="L127" i="2"/>
  <c r="K125" i="2"/>
  <c r="G25" i="2"/>
  <c r="K61" i="2"/>
  <c r="J100" i="2"/>
  <c r="J27" i="2"/>
  <c r="G64" i="2"/>
  <c r="K100" i="2"/>
  <c r="H137" i="2"/>
  <c r="K27" i="2"/>
  <c r="H64" i="2"/>
  <c r="L100" i="2"/>
  <c r="I137" i="2"/>
  <c r="I80" i="2"/>
  <c r="K105" i="2"/>
  <c r="M41" i="2"/>
  <c r="G26" i="2"/>
  <c r="L135" i="2"/>
  <c r="G17" i="2"/>
  <c r="K53" i="2"/>
  <c r="L126" i="2"/>
  <c r="I42" i="2"/>
  <c r="L76" i="2"/>
  <c r="J9" i="2"/>
  <c r="G46" i="2"/>
  <c r="K82" i="2"/>
  <c r="H119" i="2"/>
  <c r="G133" i="2"/>
  <c r="L34" i="2"/>
  <c r="I71" i="2"/>
  <c r="M107" i="2"/>
  <c r="J23" i="2"/>
  <c r="G60" i="2"/>
  <c r="K96" i="2"/>
  <c r="K7" i="2"/>
  <c r="H44" i="2"/>
  <c r="L80" i="2"/>
  <c r="I117" i="2"/>
  <c r="I28" i="2"/>
  <c r="M64" i="2"/>
  <c r="J101" i="2"/>
  <c r="G138" i="2"/>
  <c r="I19" i="2"/>
  <c r="M55" i="2"/>
  <c r="J92" i="2"/>
  <c r="G129" i="2"/>
  <c r="G8" i="2"/>
  <c r="K44" i="2"/>
  <c r="H81" i="2"/>
  <c r="M5" i="2"/>
  <c r="J42" i="2"/>
  <c r="G79" i="2"/>
  <c r="K115" i="2"/>
  <c r="J104" i="2"/>
  <c r="H15" i="2"/>
  <c r="L51" i="2"/>
  <c r="I88" i="2"/>
  <c r="M124" i="2"/>
  <c r="J2" i="2"/>
  <c r="G29" i="2"/>
  <c r="K65" i="2"/>
  <c r="L106" i="2"/>
  <c r="J31" i="2"/>
  <c r="G68" i="2"/>
  <c r="K104" i="2"/>
  <c r="H141" i="2"/>
  <c r="H36" i="2"/>
  <c r="I20" i="2"/>
  <c r="M56" i="2"/>
  <c r="J93" i="2"/>
  <c r="G130" i="2"/>
  <c r="H130" i="2"/>
  <c r="I27" i="2"/>
  <c r="M63" i="2"/>
  <c r="G105" i="2"/>
  <c r="L29" i="2"/>
  <c r="I66" i="2"/>
  <c r="M102" i="2"/>
  <c r="J139" i="2"/>
  <c r="M29" i="2"/>
  <c r="J66" i="2"/>
  <c r="G103" i="2"/>
  <c r="K139" i="2"/>
  <c r="M116" i="2"/>
  <c r="J32" i="2"/>
  <c r="H21" i="2"/>
  <c r="J78" i="2"/>
  <c r="K62" i="2"/>
  <c r="K3" i="2"/>
  <c r="L11" i="2"/>
  <c r="I48" i="2"/>
  <c r="M84" i="2"/>
  <c r="J121" i="2"/>
  <c r="M139" i="2"/>
  <c r="G37" i="2"/>
  <c r="K73" i="2"/>
  <c r="H110" i="2"/>
  <c r="L25" i="2"/>
  <c r="I62" i="2"/>
  <c r="M98" i="2"/>
  <c r="M9" i="2"/>
  <c r="J46" i="2"/>
  <c r="G83" i="2"/>
  <c r="K119" i="2"/>
  <c r="K30" i="2"/>
  <c r="H67" i="2"/>
  <c r="L103" i="2"/>
  <c r="I140" i="2"/>
  <c r="K21" i="2"/>
  <c r="H58" i="2"/>
  <c r="L94" i="2"/>
  <c r="I131" i="2"/>
  <c r="I10" i="2"/>
  <c r="M46" i="2"/>
  <c r="J83" i="2"/>
  <c r="H8" i="2"/>
  <c r="L44" i="2"/>
  <c r="I81" i="2"/>
  <c r="M117" i="2"/>
  <c r="G109" i="2"/>
  <c r="J17" i="2"/>
  <c r="G54" i="2"/>
  <c r="K90" i="2"/>
  <c r="H127" i="2"/>
  <c r="I45" i="2"/>
  <c r="I31" i="2"/>
  <c r="M67" i="2"/>
  <c r="K113" i="2"/>
  <c r="L33" i="2"/>
  <c r="I70" i="2"/>
  <c r="M106" i="2"/>
  <c r="K2" i="2"/>
  <c r="J38" i="2"/>
  <c r="K22" i="2"/>
  <c r="H59" i="2"/>
  <c r="L95" i="2"/>
  <c r="I132" i="2"/>
  <c r="J132" i="2"/>
  <c r="K29" i="2"/>
  <c r="H66" i="2"/>
  <c r="M111" i="2"/>
  <c r="G32" i="2"/>
  <c r="K68" i="2"/>
  <c r="H105" i="2"/>
  <c r="L141" i="2"/>
  <c r="H32" i="2"/>
  <c r="L68" i="2"/>
  <c r="I105" i="2"/>
  <c r="M141" i="2"/>
  <c r="H7" i="2"/>
  <c r="J128" i="2"/>
  <c r="G69" i="2"/>
  <c r="I94" i="2"/>
  <c r="G115" i="2"/>
  <c r="L5" i="2"/>
  <c r="G14" i="2"/>
  <c r="K50" i="2"/>
  <c r="H87" i="2"/>
  <c r="L123" i="2"/>
  <c r="H133" i="2"/>
  <c r="I39" i="2"/>
  <c r="M75" i="2"/>
  <c r="J112" i="2"/>
  <c r="G28" i="2"/>
  <c r="K64" i="2"/>
  <c r="H101" i="2"/>
  <c r="H12" i="2"/>
  <c r="L48" i="2"/>
  <c r="I85" i="2"/>
  <c r="M121" i="2"/>
  <c r="M32" i="2"/>
  <c r="J69" i="2"/>
  <c r="G106" i="2"/>
  <c r="K142" i="2"/>
  <c r="M23" i="2"/>
  <c r="J60" i="2"/>
  <c r="G97" i="2"/>
  <c r="K133" i="2"/>
  <c r="K12" i="2"/>
  <c r="H49" i="2"/>
  <c r="L85" i="2"/>
  <c r="J10" i="2"/>
  <c r="G47" i="2"/>
  <c r="K83" i="2"/>
  <c r="H120" i="2"/>
  <c r="M115" i="2"/>
  <c r="L19" i="2"/>
  <c r="I56" i="2"/>
  <c r="M92" i="2"/>
  <c r="J129" i="2"/>
  <c r="L56" i="2"/>
  <c r="K33" i="2"/>
  <c r="H70" i="2"/>
  <c r="G125" i="2"/>
  <c r="G36" i="2"/>
  <c r="K72" i="2"/>
  <c r="H109" i="2"/>
  <c r="H4" i="2"/>
  <c r="L40" i="2"/>
  <c r="M24" i="2"/>
  <c r="J61" i="2"/>
  <c r="G98" i="2"/>
  <c r="K134" i="2"/>
  <c r="L134" i="2"/>
  <c r="M31" i="2"/>
  <c r="J68" i="2"/>
  <c r="G121" i="2"/>
  <c r="I34" i="2"/>
  <c r="M70" i="2"/>
  <c r="J107" i="2"/>
  <c r="I135" i="2"/>
  <c r="J34" i="2"/>
  <c r="G71" i="2"/>
  <c r="K107" i="2"/>
  <c r="L130" i="2"/>
  <c r="L43" i="2"/>
  <c r="I5" i="2"/>
  <c r="I16" i="2"/>
  <c r="M52" i="2"/>
  <c r="J89" i="2"/>
  <c r="G126" i="2"/>
  <c r="G5" i="2"/>
  <c r="K41" i="2"/>
  <c r="H78" i="2"/>
  <c r="L114" i="2"/>
  <c r="I30" i="2"/>
  <c r="M66" i="2"/>
  <c r="J103" i="2"/>
  <c r="J14" i="2"/>
  <c r="G51" i="2"/>
  <c r="K87" i="2"/>
  <c r="H124" i="2"/>
  <c r="H35" i="2"/>
  <c r="L71" i="2"/>
  <c r="I108" i="2"/>
  <c r="M110" i="2"/>
  <c r="H26" i="2"/>
  <c r="L62" i="2"/>
  <c r="I99" i="2"/>
  <c r="M135" i="2"/>
  <c r="M14" i="2"/>
  <c r="J51" i="2"/>
  <c r="G88" i="2"/>
  <c r="L12" i="2"/>
  <c r="I49" i="2"/>
  <c r="M85" i="2"/>
  <c r="J122" i="2"/>
  <c r="J120" i="2"/>
  <c r="G22" i="2"/>
  <c r="K58" i="2"/>
  <c r="H95" i="2"/>
  <c r="L131" i="2"/>
  <c r="K63" i="2"/>
  <c r="M35" i="2"/>
  <c r="J72" i="2"/>
  <c r="G141" i="2"/>
  <c r="I38" i="2"/>
  <c r="M74" i="2"/>
  <c r="J111" i="2"/>
  <c r="J6" i="2"/>
  <c r="K47" i="2"/>
  <c r="H27" i="2"/>
  <c r="L63" i="2"/>
  <c r="I100" i="2"/>
  <c r="M136" i="2"/>
  <c r="I139" i="2"/>
  <c r="H34" i="2"/>
  <c r="L70" i="2"/>
  <c r="M127" i="2"/>
  <c r="K36" i="2"/>
  <c r="H73" i="2"/>
  <c r="L109" i="2"/>
  <c r="I126" i="2"/>
  <c r="L36" i="2"/>
  <c r="I73" i="2"/>
  <c r="M109" i="2"/>
  <c r="H142" i="2"/>
  <c r="I119" i="2"/>
  <c r="K32" i="2"/>
  <c r="H69" i="2"/>
  <c r="L105" i="2"/>
  <c r="L16" i="2"/>
  <c r="I53" i="2"/>
  <c r="M89" i="2"/>
  <c r="J126" i="2"/>
  <c r="J37" i="2"/>
  <c r="G74" i="2"/>
  <c r="K110" i="2"/>
  <c r="L117" i="2"/>
  <c r="J28" i="2"/>
  <c r="G65" i="2"/>
  <c r="K101" i="2"/>
  <c r="H138" i="2"/>
  <c r="H17" i="2"/>
  <c r="L53" i="2"/>
  <c r="I90" i="2"/>
  <c r="G15" i="2"/>
  <c r="K51" i="2"/>
  <c r="H88" i="2"/>
  <c r="L124" i="2"/>
  <c r="K129" i="2"/>
  <c r="I24" i="2"/>
  <c r="M60" i="2"/>
  <c r="J97" i="2"/>
  <c r="G134" i="2"/>
  <c r="L72" i="2"/>
  <c r="H38" i="2"/>
  <c r="L74" i="2"/>
  <c r="G4" i="2"/>
  <c r="K40" i="2"/>
  <c r="H77" i="2"/>
  <c r="L113" i="2"/>
  <c r="L8" i="2"/>
  <c r="M49" i="2"/>
  <c r="J29" i="2"/>
  <c r="G66" i="2"/>
  <c r="K102" i="2"/>
  <c r="H139" i="2"/>
  <c r="K141" i="2"/>
  <c r="J36" i="2"/>
  <c r="G73" i="2"/>
  <c r="G137" i="2"/>
  <c r="M38" i="2"/>
  <c r="J75" i="2"/>
  <c r="G112" i="2"/>
  <c r="L137" i="2"/>
  <c r="G39" i="2"/>
  <c r="K75" i="2"/>
  <c r="H112" i="2"/>
  <c r="K128" i="2"/>
  <c r="M20" i="2"/>
  <c r="J57" i="2"/>
  <c r="G94" i="2"/>
  <c r="K130" i="2"/>
  <c r="K9" i="2"/>
  <c r="H46" i="2"/>
  <c r="L82" i="2"/>
  <c r="H126" i="2"/>
  <c r="M34" i="2"/>
  <c r="J71" i="2"/>
  <c r="G108" i="2"/>
  <c r="G19" i="2"/>
  <c r="K55" i="2"/>
  <c r="H92" i="2"/>
  <c r="L39" i="2"/>
  <c r="I76" i="2"/>
  <c r="M112" i="2"/>
  <c r="K124" i="2"/>
  <c r="L30" i="2"/>
  <c r="I67" i="2"/>
  <c r="M103" i="2"/>
  <c r="J140" i="2"/>
  <c r="J19" i="2"/>
  <c r="G56" i="2"/>
  <c r="K92" i="2"/>
  <c r="I17" i="2"/>
  <c r="M53" i="2"/>
  <c r="J90" i="2"/>
  <c r="G127" i="2"/>
  <c r="H134" i="2"/>
  <c r="K26" i="2"/>
  <c r="H63" i="2"/>
  <c r="L99" i="2"/>
  <c r="I136" i="2"/>
  <c r="M3" i="2"/>
  <c r="J40" i="2"/>
  <c r="G77" i="2"/>
  <c r="I6" i="2"/>
  <c r="M42" i="2"/>
  <c r="J79" i="2"/>
  <c r="G116" i="2"/>
  <c r="G11" i="2"/>
  <c r="H52" i="2"/>
  <c r="L31" i="2"/>
  <c r="I68" i="2"/>
  <c r="M104" i="2"/>
  <c r="J141" i="2"/>
  <c r="L38" i="2"/>
  <c r="I75" i="2"/>
  <c r="K4" i="2"/>
  <c r="H41" i="2"/>
  <c r="L77" i="2"/>
  <c r="I114" i="2"/>
  <c r="L4" i="2"/>
  <c r="I41" i="2"/>
  <c r="M77" i="2"/>
  <c r="J114" i="2"/>
  <c r="G140" i="2"/>
  <c r="H23" i="2"/>
  <c r="L59" i="2"/>
  <c r="I96" i="2"/>
  <c r="M132" i="2"/>
  <c r="M11" i="2"/>
  <c r="J48" i="2"/>
  <c r="G85" i="2"/>
  <c r="K137" i="2"/>
  <c r="H37" i="2"/>
  <c r="L73" i="2"/>
  <c r="I110" i="2"/>
  <c r="I21" i="2"/>
  <c r="M57" i="2"/>
  <c r="J94" i="2"/>
  <c r="J5" i="2"/>
  <c r="G42" i="2"/>
  <c r="K78" i="2"/>
  <c r="H115" i="2"/>
  <c r="H129" i="2"/>
  <c r="G33" i="2"/>
  <c r="K69" i="2"/>
  <c r="H106" i="2"/>
  <c r="L142" i="2"/>
  <c r="L21" i="2"/>
  <c r="I58" i="2"/>
  <c r="M94" i="2"/>
  <c r="K19" i="2"/>
  <c r="H56" i="2"/>
  <c r="L92" i="2"/>
  <c r="I129" i="2"/>
  <c r="L138" i="2"/>
  <c r="M28" i="2"/>
  <c r="J65" i="2"/>
  <c r="G102" i="2"/>
  <c r="K138" i="2"/>
  <c r="H6" i="2"/>
  <c r="L42" i="2"/>
  <c r="I79" i="2"/>
  <c r="K8" i="2"/>
  <c r="H45" i="2"/>
  <c r="L81" i="2"/>
  <c r="I118" i="2"/>
  <c r="I13" i="2"/>
  <c r="J54" i="2"/>
  <c r="G34" i="2"/>
  <c r="K70" i="2"/>
  <c r="H107" i="2"/>
  <c r="M2" i="2"/>
  <c r="J4" i="2"/>
  <c r="G41" i="2"/>
  <c r="K77" i="2"/>
  <c r="M6" i="2"/>
  <c r="J43" i="2"/>
  <c r="G80" i="2"/>
  <c r="K116" i="2"/>
  <c r="G7" i="2"/>
  <c r="K43" i="2"/>
  <c r="H80" i="2"/>
  <c r="J70" i="2"/>
  <c r="K111" i="2"/>
  <c r="M137" i="2"/>
  <c r="I77" i="2"/>
  <c r="M113" i="2"/>
  <c r="G139" i="2"/>
  <c r="H116" i="2"/>
  <c r="H140" i="2"/>
  <c r="I141" i="2"/>
  <c r="I142" i="2"/>
  <c r="K79" i="2"/>
  <c r="M81" i="2"/>
  <c r="J118" i="2"/>
  <c r="H84" i="2"/>
  <c r="L120" i="2"/>
  <c r="J86" i="2"/>
  <c r="G123" i="2"/>
  <c r="J142" i="2"/>
  <c r="L88" i="2"/>
  <c r="I125" i="2"/>
  <c r="L2" i="2"/>
  <c r="G91" i="2"/>
  <c r="K127" i="2"/>
  <c r="I109" i="2"/>
  <c r="I93" i="2"/>
  <c r="L128" i="2"/>
  <c r="H132" i="2"/>
  <c r="L136" i="2"/>
  <c r="K95" i="2"/>
  <c r="M129" i="2"/>
  <c r="M97" i="2"/>
  <c r="G131" i="2"/>
  <c r="H100" i="2"/>
  <c r="J102" i="2"/>
  <c r="I133" i="2"/>
  <c r="L104" i="2"/>
  <c r="J134" i="2"/>
  <c r="G107" i="2"/>
  <c r="K135" i="2"/>
  <c r="J25" i="2"/>
  <c r="G62" i="2"/>
  <c r="K98" i="2"/>
  <c r="H135" i="2"/>
  <c r="H14" i="2"/>
  <c r="L50" i="2"/>
  <c r="I87" i="2"/>
  <c r="J135" i="2"/>
  <c r="J39" i="2"/>
  <c r="G76" i="2"/>
  <c r="K112" i="2"/>
  <c r="K23" i="2"/>
  <c r="H60" i="2"/>
  <c r="L96" i="2"/>
  <c r="L7" i="2"/>
  <c r="I44" i="2"/>
  <c r="M80" i="2"/>
  <c r="J117" i="2"/>
  <c r="L133" i="2"/>
  <c r="I35" i="2"/>
  <c r="M71" i="2"/>
  <c r="J108" i="2"/>
  <c r="I106" i="2"/>
  <c r="G24" i="2"/>
  <c r="K60" i="2"/>
  <c r="H97" i="2"/>
  <c r="M21" i="2"/>
  <c r="J58" i="2"/>
  <c r="G95" i="2"/>
  <c r="K131" i="2"/>
  <c r="G43" i="2"/>
  <c r="H31" i="2"/>
  <c r="L67" i="2"/>
  <c r="I104" i="2"/>
  <c r="M140" i="2"/>
  <c r="J8" i="2"/>
  <c r="G45" i="2"/>
  <c r="K81" i="2"/>
  <c r="M10" i="2"/>
  <c r="J47" i="2"/>
  <c r="G84" i="2"/>
  <c r="K120" i="2"/>
  <c r="K15" i="2"/>
  <c r="I61" i="2"/>
  <c r="I36" i="2"/>
  <c r="M72" i="2"/>
  <c r="J109" i="2"/>
  <c r="H98" i="2"/>
  <c r="L6" i="2"/>
  <c r="I43" i="2"/>
  <c r="M79" i="2"/>
  <c r="H9" i="2"/>
  <c r="L45" i="2"/>
  <c r="I82" i="2"/>
  <c r="M118" i="2"/>
  <c r="I9" i="2"/>
  <c r="M45" i="2"/>
  <c r="J82" i="2"/>
  <c r="G119" i="2"/>
  <c r="I78" i="2"/>
  <c r="J62" i="2"/>
  <c r="K46" i="2"/>
  <c r="K140" i="2"/>
  <c r="L110" i="2"/>
  <c r="I26" i="2"/>
  <c r="J99" i="2"/>
  <c r="H24" i="2"/>
  <c r="L60" i="2"/>
  <c r="I97" i="2"/>
  <c r="M133" i="2"/>
  <c r="G59" i="2"/>
  <c r="J33" i="2"/>
  <c r="G70" i="2"/>
  <c r="K106" i="2"/>
  <c r="I2" i="2"/>
  <c r="L10" i="2"/>
  <c r="I47" i="2"/>
  <c r="M83" i="2"/>
  <c r="H13" i="2"/>
  <c r="L49" i="2"/>
  <c r="I86" i="2"/>
  <c r="M122" i="2"/>
  <c r="M17" i="2"/>
  <c r="H68" i="2"/>
  <c r="K38" i="2"/>
  <c r="H75" i="2"/>
  <c r="L111" i="2"/>
  <c r="L102" i="2"/>
  <c r="G9" i="2"/>
  <c r="K45" i="2"/>
  <c r="H82" i="2"/>
  <c r="J11" i="2"/>
  <c r="G48" i="2"/>
  <c r="K84" i="2"/>
  <c r="H121" i="2"/>
  <c r="K11" i="2"/>
  <c r="H48" i="2"/>
  <c r="L84" i="2"/>
  <c r="I121" i="2"/>
  <c r="H5" i="2"/>
  <c r="L41" i="2"/>
  <c r="M114" i="2"/>
  <c r="M25" i="2"/>
  <c r="G99" i="2"/>
  <c r="G10" i="2"/>
  <c r="H83" i="2"/>
  <c r="L119" i="2"/>
  <c r="K37" i="2"/>
  <c r="H74" i="2"/>
  <c r="J115" i="2"/>
  <c r="M62" i="2"/>
  <c r="G30" i="2"/>
  <c r="K66" i="2"/>
  <c r="H103" i="2"/>
  <c r="L139" i="2"/>
  <c r="L18" i="2"/>
  <c r="I55" i="2"/>
  <c r="M91" i="2"/>
  <c r="J7" i="2"/>
  <c r="G44" i="2"/>
  <c r="K80" i="2"/>
  <c r="H117" i="2"/>
  <c r="H28" i="2"/>
  <c r="L64" i="2"/>
  <c r="I101" i="2"/>
  <c r="I12" i="2"/>
  <c r="M48" i="2"/>
  <c r="J85" i="2"/>
  <c r="G122" i="2"/>
  <c r="I3" i="2"/>
  <c r="M39" i="2"/>
  <c r="J76" i="2"/>
  <c r="G113" i="2"/>
  <c r="G120" i="2"/>
  <c r="K28" i="2"/>
  <c r="H65" i="2"/>
  <c r="L101" i="2"/>
  <c r="J26" i="2"/>
  <c r="G63" i="2"/>
  <c r="K99" i="2"/>
  <c r="H136" i="2"/>
  <c r="M65" i="2"/>
  <c r="L35" i="2"/>
  <c r="I72" i="2"/>
  <c r="M108" i="2"/>
  <c r="H102" i="2"/>
  <c r="G13" i="2"/>
  <c r="K49" i="2"/>
  <c r="H86" i="2"/>
  <c r="J15" i="2"/>
  <c r="G52" i="2"/>
  <c r="K88" i="2"/>
  <c r="H125" i="2"/>
  <c r="H20" i="2"/>
  <c r="I4" i="2"/>
  <c r="M40" i="2"/>
  <c r="J77" i="2"/>
  <c r="G114" i="2"/>
  <c r="I107" i="2"/>
  <c r="I11" i="2"/>
  <c r="M47" i="2"/>
  <c r="J84" i="2"/>
  <c r="L13" i="2"/>
  <c r="I50" i="2"/>
  <c r="M86" i="2"/>
  <c r="J123" i="2"/>
  <c r="M13" i="2"/>
  <c r="J50" i="2"/>
  <c r="G87" i="2"/>
  <c r="K123" i="2"/>
  <c r="I46" i="2"/>
  <c r="M82" i="2"/>
  <c r="J119" i="2"/>
  <c r="J30" i="2"/>
  <c r="G67" i="2"/>
  <c r="K103" i="2"/>
  <c r="K14" i="2"/>
  <c r="H51" i="2"/>
  <c r="L87" i="2"/>
  <c r="I124" i="2"/>
  <c r="K5" i="2"/>
  <c r="H42" i="2"/>
  <c r="L78" i="2"/>
  <c r="I115" i="2"/>
  <c r="M126" i="2"/>
  <c r="M30" i="2"/>
  <c r="J67" i="2"/>
  <c r="G104" i="2"/>
  <c r="L28" i="2"/>
  <c r="I65" i="2"/>
  <c r="M101" i="2"/>
  <c r="J138" i="2"/>
  <c r="G75" i="2"/>
  <c r="G38" i="2"/>
  <c r="K74" i="2"/>
  <c r="H111" i="2"/>
  <c r="I111" i="2"/>
  <c r="I15" i="2"/>
  <c r="M51" i="2"/>
  <c r="J88" i="2"/>
  <c r="L17" i="2"/>
  <c r="I54" i="2"/>
  <c r="M90" i="2"/>
  <c r="J127" i="2"/>
  <c r="J22" i="2"/>
  <c r="K6" i="2"/>
  <c r="H43" i="2"/>
  <c r="L79" i="2"/>
  <c r="I116" i="2"/>
  <c r="K109" i="2"/>
  <c r="K13" i="2"/>
  <c r="H50" i="2"/>
  <c r="L86" i="2"/>
  <c r="G16" i="2"/>
  <c r="K52" i="2"/>
  <c r="H89" i="2"/>
  <c r="L125" i="2"/>
  <c r="H16" i="2"/>
  <c r="L52" i="2"/>
  <c r="I89" i="2"/>
  <c r="M125" i="2"/>
  <c r="M4" i="2"/>
  <c r="D17" i="1"/>
  <c r="N24" i="2" l="1"/>
  <c r="C37" i="1" s="1"/>
  <c r="N126" i="2"/>
  <c r="C139" i="1" s="1"/>
  <c r="N53" i="2"/>
  <c r="C66" i="1" s="1"/>
  <c r="N39" i="2"/>
  <c r="C52" i="1" s="1"/>
  <c r="N22" i="2"/>
  <c r="C35" i="1" s="1"/>
  <c r="N104" i="2"/>
  <c r="C117" i="1" s="1"/>
  <c r="N68" i="2"/>
  <c r="C81" i="1" s="1"/>
  <c r="N60" i="2"/>
  <c r="C73" i="1" s="1"/>
  <c r="N21" i="2"/>
  <c r="C34" i="1" s="1"/>
  <c r="N123" i="2"/>
  <c r="C136" i="1" s="1"/>
  <c r="N109" i="2"/>
  <c r="C122" i="1" s="1"/>
  <c r="N115" i="2"/>
  <c r="C128" i="1" s="1"/>
  <c r="N71" i="2"/>
  <c r="C84" i="1" s="1"/>
  <c r="N29" i="2"/>
  <c r="C42" i="1" s="1"/>
  <c r="N12" i="2"/>
  <c r="C25" i="1" s="1"/>
  <c r="N136" i="2"/>
  <c r="C149" i="1" s="1"/>
  <c r="N16" i="2"/>
  <c r="C29" i="1" s="1"/>
  <c r="N100" i="2"/>
  <c r="C113" i="1" s="1"/>
  <c r="N28" i="2"/>
  <c r="C41" i="1" s="1"/>
  <c r="N50" i="2"/>
  <c r="C63" i="1" s="1"/>
  <c r="N119" i="2"/>
  <c r="C132" i="1" s="1"/>
  <c r="N125" i="2"/>
  <c r="C138" i="1" s="1"/>
  <c r="N135" i="2"/>
  <c r="C148" i="1" s="1"/>
  <c r="N23" i="2"/>
  <c r="C36" i="1" s="1"/>
  <c r="N99" i="2"/>
  <c r="C112" i="1" s="1"/>
  <c r="N52" i="2"/>
  <c r="C65" i="1" s="1"/>
  <c r="N79" i="2"/>
  <c r="C92" i="1" s="1"/>
  <c r="N6" i="2"/>
  <c r="C19" i="1" s="1"/>
  <c r="N64" i="2"/>
  <c r="C77" i="1" s="1"/>
  <c r="N43" i="2"/>
  <c r="C56" i="1" s="1"/>
  <c r="N81" i="2"/>
  <c r="C94" i="1" s="1"/>
  <c r="N83" i="2"/>
  <c r="C96" i="1" s="1"/>
  <c r="N102" i="2"/>
  <c r="C115" i="1" s="1"/>
  <c r="N61" i="2"/>
  <c r="C74" i="1" s="1"/>
  <c r="N67" i="2"/>
  <c r="C80" i="1" s="1"/>
  <c r="N90" i="2"/>
  <c r="C103" i="1" s="1"/>
  <c r="N97" i="2"/>
  <c r="C110" i="1" s="1"/>
  <c r="N36" i="2"/>
  <c r="C49" i="1" s="1"/>
  <c r="N70" i="2"/>
  <c r="C83" i="1" s="1"/>
  <c r="N141" i="2"/>
  <c r="C154" i="1" s="1"/>
  <c r="N4" i="2"/>
  <c r="C17" i="1" s="1"/>
  <c r="N92" i="2"/>
  <c r="C105" i="1" s="1"/>
  <c r="N8" i="2"/>
  <c r="C21" i="1" s="1"/>
  <c r="N73" i="2"/>
  <c r="C86" i="1" s="1"/>
  <c r="N76" i="2"/>
  <c r="C89" i="1" s="1"/>
  <c r="N108" i="2"/>
  <c r="C121" i="1" s="1"/>
  <c r="N55" i="2"/>
  <c r="C68" i="1" s="1"/>
  <c r="N140" i="2"/>
  <c r="C153" i="1" s="1"/>
  <c r="N107" i="2"/>
  <c r="C120" i="1" s="1"/>
  <c r="N5" i="2"/>
  <c r="C18" i="1" s="1"/>
  <c r="N69" i="2"/>
  <c r="C82" i="1" s="1"/>
  <c r="N15" i="2"/>
  <c r="C28" i="1" s="1"/>
  <c r="N31" i="2"/>
  <c r="C44" i="1" s="1"/>
  <c r="N13" i="2"/>
  <c r="C26" i="1" s="1"/>
  <c r="N88" i="2"/>
  <c r="C101" i="1" s="1"/>
  <c r="N45" i="2"/>
  <c r="C58" i="1" s="1"/>
  <c r="N87" i="2"/>
  <c r="C100" i="1" s="1"/>
  <c r="N14" i="2"/>
  <c r="C27" i="1" s="1"/>
  <c r="N122" i="2"/>
  <c r="C135" i="1" s="1"/>
  <c r="N56" i="2"/>
  <c r="C69" i="1" s="1"/>
  <c r="N127" i="2"/>
  <c r="C140" i="1" s="1"/>
  <c r="N48" i="2"/>
  <c r="C61" i="1" s="1"/>
  <c r="N47" i="2"/>
  <c r="C60" i="1" s="1"/>
  <c r="N101" i="2"/>
  <c r="C114" i="1" s="1"/>
  <c r="N77" i="2"/>
  <c r="C90" i="1" s="1"/>
  <c r="N95" i="2"/>
  <c r="C108" i="1" s="1"/>
  <c r="N19" i="2"/>
  <c r="C32" i="1" s="1"/>
  <c r="N27" i="2"/>
  <c r="C40" i="1" s="1"/>
  <c r="N138" i="2"/>
  <c r="C151" i="1" s="1"/>
  <c r="N7" i="2"/>
  <c r="C20" i="1" s="1"/>
  <c r="N85" i="2"/>
  <c r="C98" i="1" s="1"/>
  <c r="N112" i="2"/>
  <c r="C125" i="1" s="1"/>
  <c r="N44" i="2"/>
  <c r="C57" i="1" s="1"/>
  <c r="N118" i="2"/>
  <c r="C131" i="1" s="1"/>
  <c r="N25" i="2"/>
  <c r="C38" i="1" s="1"/>
  <c r="N58" i="2"/>
  <c r="C71" i="1" s="1"/>
  <c r="N62" i="2"/>
  <c r="C75" i="1" s="1"/>
  <c r="N89" i="2"/>
  <c r="C102" i="1" s="1"/>
  <c r="N37" i="2"/>
  <c r="C50" i="1" s="1"/>
  <c r="N131" i="2"/>
  <c r="C144" i="1" s="1"/>
  <c r="N10" i="2"/>
  <c r="C23" i="1" s="1"/>
  <c r="N17" i="2"/>
  <c r="C30" i="1" s="1"/>
  <c r="N80" i="2"/>
  <c r="C93" i="1" s="1"/>
  <c r="N106" i="2"/>
  <c r="C119" i="1" s="1"/>
  <c r="N94" i="2"/>
  <c r="C107" i="1" s="1"/>
  <c r="N120" i="2"/>
  <c r="C133" i="1" s="1"/>
  <c r="N38" i="2"/>
  <c r="C51" i="1" s="1"/>
  <c r="N2" i="2"/>
  <c r="C15" i="1" s="1"/>
  <c r="N40" i="2"/>
  <c r="C53" i="1" s="1"/>
  <c r="N33" i="2"/>
  <c r="C46" i="1" s="1"/>
  <c r="N41" i="2"/>
  <c r="C54" i="1" s="1"/>
  <c r="N42" i="2"/>
  <c r="C55" i="1" s="1"/>
  <c r="N49" i="2"/>
  <c r="C62" i="1" s="1"/>
  <c r="N84" i="2"/>
  <c r="C97" i="1" s="1"/>
  <c r="N117" i="2"/>
  <c r="C130" i="1" s="1"/>
  <c r="N51" i="2"/>
  <c r="C64" i="1" s="1"/>
  <c r="N137" i="2"/>
  <c r="C150" i="1" s="1"/>
  <c r="N129" i="2"/>
  <c r="C142" i="1" s="1"/>
  <c r="N124" i="2"/>
  <c r="C137" i="1" s="1"/>
  <c r="N121" i="2"/>
  <c r="C134" i="1" s="1"/>
  <c r="N139" i="2"/>
  <c r="C152" i="1" s="1"/>
  <c r="N114" i="2"/>
  <c r="C127" i="1" s="1"/>
  <c r="N128" i="2"/>
  <c r="C141" i="1" s="1"/>
  <c r="N72" i="2"/>
  <c r="C85" i="1" s="1"/>
  <c r="N96" i="2"/>
  <c r="C109" i="1" s="1"/>
  <c r="N30" i="2"/>
  <c r="C43" i="1" s="1"/>
  <c r="N113" i="2"/>
  <c r="C126" i="1" s="1"/>
  <c r="N133" i="2"/>
  <c r="C146" i="1" s="1"/>
  <c r="N9" i="2"/>
  <c r="C22" i="1" s="1"/>
  <c r="N98" i="2"/>
  <c r="C111" i="1" s="1"/>
  <c r="N134" i="2"/>
  <c r="C147" i="1" s="1"/>
  <c r="N66" i="2"/>
  <c r="C79" i="1" s="1"/>
  <c r="N142" i="2"/>
  <c r="C155" i="1" s="1"/>
  <c r="N11" i="2"/>
  <c r="C24" i="1" s="1"/>
  <c r="N74" i="2"/>
  <c r="C87" i="1" s="1"/>
  <c r="N132" i="2"/>
  <c r="C145" i="1" s="1"/>
  <c r="N78" i="2"/>
  <c r="C91" i="1" s="1"/>
  <c r="N130" i="2"/>
  <c r="C143" i="1" s="1"/>
  <c r="N103" i="2"/>
  <c r="C116" i="1" s="1"/>
  <c r="N105" i="2"/>
  <c r="C118" i="1" s="1"/>
  <c r="N20" i="2"/>
  <c r="C33" i="1" s="1"/>
  <c r="N59" i="2"/>
  <c r="C72" i="1" s="1"/>
  <c r="N18" i="2"/>
  <c r="C31" i="1" s="1"/>
  <c r="N93" i="2"/>
  <c r="C106" i="1" s="1"/>
  <c r="N82" i="2"/>
  <c r="C95" i="1" s="1"/>
  <c r="N35" i="2"/>
  <c r="C48" i="1" s="1"/>
  <c r="N75" i="2"/>
  <c r="C88" i="1" s="1"/>
  <c r="N34" i="2"/>
  <c r="C47" i="1" s="1"/>
  <c r="N116" i="2"/>
  <c r="C129" i="1" s="1"/>
  <c r="N91" i="2"/>
  <c r="C104" i="1" s="1"/>
  <c r="N65" i="2"/>
  <c r="C78" i="1" s="1"/>
  <c r="N54" i="2"/>
  <c r="C67" i="1" s="1"/>
  <c r="N26" i="2"/>
  <c r="C39" i="1" s="1"/>
  <c r="N63" i="2"/>
  <c r="C76" i="1" s="1"/>
  <c r="N57" i="2"/>
  <c r="C70" i="1" s="1"/>
  <c r="N111" i="2"/>
  <c r="C124" i="1" s="1"/>
  <c r="N3" i="2"/>
  <c r="C16" i="1" s="1"/>
  <c r="N32" i="2"/>
  <c r="C45" i="1" s="1"/>
  <c r="N110" i="2"/>
  <c r="C123" i="1" s="1"/>
  <c r="N46" i="2"/>
  <c r="C59" i="1" s="1"/>
  <c r="N86" i="2"/>
  <c r="C99" i="1" s="1"/>
  <c r="D18" i="1"/>
  <c r="E15" i="1" l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8" i="1" s="1"/>
  <c r="E29" i="1" s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E42" i="1" s="1"/>
  <c r="E43" i="1" s="1"/>
  <c r="E44" i="1" s="1"/>
  <c r="E45" i="1" s="1"/>
  <c r="E46" i="1" s="1"/>
  <c r="E47" i="1" s="1"/>
  <c r="E48" i="1" s="1"/>
  <c r="E49" i="1" s="1"/>
  <c r="E50" i="1" s="1"/>
  <c r="E51" i="1" s="1"/>
  <c r="E52" i="1" s="1"/>
  <c r="E53" i="1" s="1"/>
  <c r="E54" i="1" s="1"/>
  <c r="E55" i="1" s="1"/>
  <c r="E56" i="1" s="1"/>
  <c r="E57" i="1" s="1"/>
  <c r="E58" i="1" s="1"/>
  <c r="E59" i="1" s="1"/>
  <c r="E60" i="1" s="1"/>
  <c r="E61" i="1" s="1"/>
  <c r="E62" i="1" s="1"/>
  <c r="E63" i="1" s="1"/>
  <c r="E64" i="1" s="1"/>
  <c r="E65" i="1" s="1"/>
  <c r="E66" i="1" s="1"/>
  <c r="E67" i="1" s="1"/>
  <c r="E68" i="1" s="1"/>
  <c r="E69" i="1" s="1"/>
  <c r="E70" i="1" s="1"/>
  <c r="E71" i="1" s="1"/>
  <c r="E72" i="1" s="1"/>
  <c r="E73" i="1" s="1"/>
  <c r="E74" i="1" s="1"/>
  <c r="E75" i="1" s="1"/>
  <c r="E76" i="1" s="1"/>
  <c r="E77" i="1" s="1"/>
  <c r="E78" i="1" s="1"/>
  <c r="E79" i="1" s="1"/>
  <c r="E80" i="1" s="1"/>
  <c r="E81" i="1" s="1"/>
  <c r="E82" i="1" s="1"/>
  <c r="E83" i="1" s="1"/>
  <c r="E84" i="1" s="1"/>
  <c r="E85" i="1" s="1"/>
  <c r="E86" i="1" s="1"/>
  <c r="E87" i="1" s="1"/>
  <c r="E88" i="1" s="1"/>
  <c r="E89" i="1" s="1"/>
  <c r="E90" i="1" s="1"/>
  <c r="E91" i="1" s="1"/>
  <c r="E92" i="1" s="1"/>
  <c r="E93" i="1" s="1"/>
  <c r="E94" i="1" s="1"/>
  <c r="E95" i="1" s="1"/>
  <c r="E96" i="1" s="1"/>
  <c r="E97" i="1" s="1"/>
  <c r="E98" i="1" s="1"/>
  <c r="E99" i="1" s="1"/>
  <c r="E100" i="1" s="1"/>
  <c r="E101" i="1" s="1"/>
  <c r="E102" i="1" s="1"/>
  <c r="E103" i="1" s="1"/>
  <c r="E104" i="1" s="1"/>
  <c r="E105" i="1" s="1"/>
  <c r="E106" i="1" s="1"/>
  <c r="E107" i="1" s="1"/>
  <c r="E108" i="1" s="1"/>
  <c r="E109" i="1" s="1"/>
  <c r="E110" i="1" s="1"/>
  <c r="E111" i="1" s="1"/>
  <c r="E112" i="1" s="1"/>
  <c r="E113" i="1" s="1"/>
  <c r="E114" i="1" s="1"/>
  <c r="E115" i="1" s="1"/>
  <c r="E116" i="1" s="1"/>
  <c r="E117" i="1" s="1"/>
  <c r="E118" i="1" s="1"/>
  <c r="E119" i="1" s="1"/>
  <c r="E120" i="1" s="1"/>
  <c r="E121" i="1" s="1"/>
  <c r="E122" i="1" s="1"/>
  <c r="E123" i="1" s="1"/>
  <c r="E124" i="1" s="1"/>
  <c r="E125" i="1" s="1"/>
  <c r="E126" i="1" s="1"/>
  <c r="E127" i="1" s="1"/>
  <c r="E128" i="1" s="1"/>
  <c r="E129" i="1" s="1"/>
  <c r="E130" i="1" s="1"/>
  <c r="E131" i="1" s="1"/>
  <c r="E132" i="1" s="1"/>
  <c r="E133" i="1" s="1"/>
  <c r="E134" i="1" s="1"/>
  <c r="E135" i="1" s="1"/>
  <c r="E136" i="1" s="1"/>
  <c r="E137" i="1" s="1"/>
  <c r="E138" i="1" s="1"/>
  <c r="E139" i="1" s="1"/>
  <c r="E140" i="1" s="1"/>
  <c r="E141" i="1" s="1"/>
  <c r="E142" i="1" s="1"/>
  <c r="E143" i="1" s="1"/>
  <c r="E144" i="1" s="1"/>
  <c r="E145" i="1" s="1"/>
  <c r="E146" i="1" s="1"/>
  <c r="E147" i="1" s="1"/>
  <c r="E148" i="1" s="1"/>
  <c r="E149" i="1" s="1"/>
  <c r="E150" i="1" s="1"/>
  <c r="E151" i="1" s="1"/>
  <c r="E152" i="1" s="1"/>
  <c r="E153" i="1" s="1"/>
  <c r="E154" i="1" s="1"/>
  <c r="E155" i="1" s="1"/>
  <c r="D19" i="1"/>
  <c r="F16" i="1" l="1"/>
  <c r="F15" i="1"/>
  <c r="D20" i="1"/>
  <c r="F17" i="1" l="1"/>
  <c r="F18" i="1"/>
  <c r="D21" i="1"/>
  <c r="F19" i="1" l="1"/>
  <c r="D22" i="1"/>
  <c r="F20" i="1" l="1"/>
  <c r="D23" i="1"/>
  <c r="F21" i="1" l="1"/>
  <c r="D24" i="1"/>
  <c r="F22" i="1" l="1"/>
  <c r="D25" i="1"/>
  <c r="F23" i="1" l="1"/>
  <c r="D26" i="1"/>
  <c r="F24" i="1" l="1"/>
  <c r="D27" i="1"/>
  <c r="F25" i="1" l="1"/>
  <c r="D28" i="1"/>
  <c r="F26" i="1" l="1"/>
  <c r="D29" i="1"/>
  <c r="F27" i="1" l="1"/>
  <c r="D30" i="1"/>
  <c r="F28" i="1" l="1"/>
  <c r="D31" i="1"/>
  <c r="F29" i="1" l="1"/>
  <c r="D32" i="1"/>
  <c r="F30" i="1" l="1"/>
  <c r="D33" i="1"/>
  <c r="F31" i="1" l="1"/>
  <c r="D34" i="1"/>
  <c r="F32" i="1" l="1"/>
  <c r="D35" i="1"/>
  <c r="F33" i="1" l="1"/>
  <c r="D36" i="1"/>
  <c r="F34" i="1" l="1"/>
  <c r="D37" i="1"/>
  <c r="F35" i="1" l="1"/>
  <c r="D38" i="1"/>
  <c r="F36" i="1" l="1"/>
  <c r="D39" i="1"/>
  <c r="F37" i="1" l="1"/>
  <c r="D40" i="1"/>
  <c r="F38" i="1" l="1"/>
  <c r="D41" i="1"/>
  <c r="F39" i="1" l="1"/>
  <c r="D42" i="1"/>
  <c r="F40" i="1" l="1"/>
  <c r="D43" i="1"/>
  <c r="F41" i="1" l="1"/>
  <c r="D44" i="1"/>
  <c r="F42" i="1" l="1"/>
  <c r="D45" i="1"/>
  <c r="F43" i="1" l="1"/>
  <c r="D46" i="1"/>
  <c r="F44" i="1" l="1"/>
  <c r="D47" i="1"/>
  <c r="F45" i="1" l="1"/>
  <c r="D48" i="1"/>
  <c r="F46" i="1" l="1"/>
  <c r="D49" i="1"/>
  <c r="F47" i="1" l="1"/>
  <c r="D50" i="1"/>
  <c r="F48" i="1" l="1"/>
  <c r="D51" i="1"/>
  <c r="F49" i="1" l="1"/>
  <c r="D52" i="1"/>
  <c r="F50" i="1" l="1"/>
  <c r="D53" i="1"/>
  <c r="F51" i="1" l="1"/>
  <c r="D54" i="1"/>
  <c r="F52" i="1" l="1"/>
  <c r="D55" i="1"/>
  <c r="F53" i="1" l="1"/>
  <c r="D56" i="1"/>
  <c r="F54" i="1" l="1"/>
  <c r="D57" i="1"/>
  <c r="F55" i="1" l="1"/>
  <c r="D58" i="1"/>
  <c r="F56" i="1" l="1"/>
  <c r="D59" i="1"/>
  <c r="F57" i="1" l="1"/>
  <c r="D60" i="1"/>
  <c r="F58" i="1" l="1"/>
  <c r="D61" i="1"/>
  <c r="F59" i="1" l="1"/>
  <c r="D62" i="1"/>
  <c r="F60" i="1" l="1"/>
  <c r="D63" i="1"/>
  <c r="F61" i="1" l="1"/>
  <c r="D64" i="1"/>
  <c r="F62" i="1" l="1"/>
  <c r="D65" i="1"/>
  <c r="F63" i="1" l="1"/>
  <c r="D66" i="1"/>
  <c r="F64" i="1" l="1"/>
  <c r="D67" i="1"/>
  <c r="F65" i="1" l="1"/>
  <c r="D68" i="1"/>
  <c r="F66" i="1" l="1"/>
  <c r="D69" i="1"/>
  <c r="F67" i="1" l="1"/>
  <c r="D70" i="1"/>
  <c r="F68" i="1" l="1"/>
  <c r="D71" i="1"/>
  <c r="F69" i="1" l="1"/>
  <c r="D72" i="1"/>
  <c r="F70" i="1" l="1"/>
  <c r="D73" i="1"/>
  <c r="F71" i="1" l="1"/>
  <c r="D74" i="1"/>
  <c r="F72" i="1" l="1"/>
  <c r="D75" i="1"/>
  <c r="F73" i="1" l="1"/>
  <c r="D76" i="1"/>
  <c r="F74" i="1" l="1"/>
  <c r="D77" i="1"/>
  <c r="F75" i="1" l="1"/>
  <c r="D78" i="1"/>
  <c r="F76" i="1" l="1"/>
  <c r="D79" i="1"/>
  <c r="F77" i="1" l="1"/>
  <c r="D80" i="1"/>
  <c r="F78" i="1" l="1"/>
  <c r="D81" i="1"/>
  <c r="F79" i="1" l="1"/>
  <c r="D82" i="1"/>
  <c r="F80" i="1" l="1"/>
  <c r="D83" i="1"/>
  <c r="F81" i="1" l="1"/>
  <c r="D84" i="1"/>
  <c r="F82" i="1" l="1"/>
  <c r="D85" i="1"/>
  <c r="F83" i="1" l="1"/>
  <c r="D86" i="1"/>
  <c r="F84" i="1" l="1"/>
  <c r="D87" i="1"/>
  <c r="F85" i="1" l="1"/>
  <c r="D88" i="1"/>
  <c r="F86" i="1" l="1"/>
  <c r="D89" i="1"/>
  <c r="F87" i="1" l="1"/>
  <c r="D90" i="1"/>
  <c r="F88" i="1" l="1"/>
  <c r="D91" i="1"/>
  <c r="F89" i="1" l="1"/>
  <c r="D92" i="1"/>
  <c r="F90" i="1" l="1"/>
  <c r="D93" i="1"/>
  <c r="F91" i="1" l="1"/>
  <c r="D94" i="1"/>
  <c r="F92" i="1" l="1"/>
  <c r="D95" i="1"/>
  <c r="F93" i="1" l="1"/>
  <c r="D96" i="1"/>
  <c r="F94" i="1" l="1"/>
  <c r="D97" i="1"/>
  <c r="F95" i="1" l="1"/>
  <c r="D98" i="1"/>
  <c r="F96" i="1" l="1"/>
  <c r="D99" i="1"/>
  <c r="F97" i="1" l="1"/>
  <c r="D100" i="1"/>
  <c r="F98" i="1" l="1"/>
  <c r="D101" i="1"/>
  <c r="F99" i="1" l="1"/>
  <c r="D102" i="1"/>
  <c r="F100" i="1" l="1"/>
  <c r="D103" i="1"/>
  <c r="F101" i="1" l="1"/>
  <c r="D104" i="1"/>
  <c r="F102" i="1" l="1"/>
  <c r="D105" i="1"/>
  <c r="F103" i="1" l="1"/>
  <c r="D106" i="1"/>
  <c r="F104" i="1" l="1"/>
  <c r="D107" i="1"/>
  <c r="F105" i="1" l="1"/>
  <c r="D108" i="1"/>
  <c r="F106" i="1" l="1"/>
  <c r="D109" i="1"/>
  <c r="F107" i="1" l="1"/>
  <c r="D110" i="1"/>
  <c r="F108" i="1" l="1"/>
  <c r="D111" i="1"/>
  <c r="F109" i="1" l="1"/>
  <c r="D112" i="1"/>
  <c r="F110" i="1" l="1"/>
  <c r="D113" i="1"/>
  <c r="F111" i="1" l="1"/>
  <c r="D114" i="1"/>
  <c r="F112" i="1" l="1"/>
  <c r="D115" i="1"/>
  <c r="F113" i="1" l="1"/>
  <c r="D116" i="1"/>
  <c r="F114" i="1" l="1"/>
  <c r="D117" i="1"/>
  <c r="F115" i="1" l="1"/>
  <c r="D118" i="1"/>
  <c r="F116" i="1" l="1"/>
  <c r="D119" i="1"/>
  <c r="F117" i="1" l="1"/>
  <c r="D120" i="1"/>
  <c r="F118" i="1" l="1"/>
  <c r="D121" i="1"/>
  <c r="F119" i="1" l="1"/>
  <c r="D122" i="1"/>
  <c r="F120" i="1" l="1"/>
  <c r="D123" i="1"/>
  <c r="F121" i="1" l="1"/>
  <c r="D124" i="1"/>
  <c r="F122" i="1" l="1"/>
  <c r="D125" i="1"/>
  <c r="F123" i="1" l="1"/>
  <c r="D126" i="1"/>
  <c r="F124" i="1" l="1"/>
  <c r="D127" i="1"/>
  <c r="F125" i="1" l="1"/>
  <c r="D128" i="1"/>
  <c r="F126" i="1" l="1"/>
  <c r="D129" i="1"/>
  <c r="F127" i="1" l="1"/>
  <c r="D130" i="1"/>
  <c r="F128" i="1" l="1"/>
  <c r="D131" i="1"/>
  <c r="F129" i="1" l="1"/>
  <c r="D132" i="1"/>
  <c r="F130" i="1" l="1"/>
  <c r="D133" i="1"/>
  <c r="F131" i="1" l="1"/>
  <c r="D134" i="1"/>
  <c r="F132" i="1" l="1"/>
  <c r="D135" i="1"/>
  <c r="F133" i="1" l="1"/>
  <c r="D136" i="1"/>
  <c r="F134" i="1" l="1"/>
  <c r="D137" i="1"/>
  <c r="F135" i="1" l="1"/>
  <c r="D138" i="1"/>
  <c r="F136" i="1" l="1"/>
  <c r="D139" i="1"/>
  <c r="F137" i="1" l="1"/>
  <c r="D140" i="1"/>
  <c r="F138" i="1" l="1"/>
  <c r="D141" i="1"/>
  <c r="F139" i="1" l="1"/>
  <c r="D142" i="1"/>
  <c r="F140" i="1" l="1"/>
  <c r="D143" i="1"/>
  <c r="F141" i="1" l="1"/>
  <c r="D144" i="1"/>
  <c r="F142" i="1" l="1"/>
  <c r="D145" i="1"/>
  <c r="F143" i="1" l="1"/>
  <c r="D146" i="1"/>
  <c r="F144" i="1" l="1"/>
  <c r="D147" i="1"/>
  <c r="F145" i="1" l="1"/>
  <c r="D148" i="1"/>
  <c r="F146" i="1" l="1"/>
  <c r="D149" i="1"/>
  <c r="F147" i="1" l="1"/>
  <c r="D150" i="1"/>
  <c r="F148" i="1" l="1"/>
  <c r="D151" i="1"/>
  <c r="F149" i="1" l="1"/>
  <c r="D152" i="1"/>
  <c r="F150" i="1" l="1"/>
  <c r="D153" i="1"/>
  <c r="F151" i="1" l="1"/>
  <c r="D154" i="1"/>
  <c r="F152" i="1" l="1"/>
  <c r="D155" i="1"/>
  <c r="F153" i="1" l="1"/>
  <c r="F155" i="1" l="1"/>
  <c r="F154" i="1"/>
</calcChain>
</file>

<file path=xl/sharedStrings.xml><?xml version="1.0" encoding="utf-8"?>
<sst xmlns="http://schemas.openxmlformats.org/spreadsheetml/2006/main" count="774" uniqueCount="739">
  <si>
    <t>mode</t>
  </si>
  <si>
    <t>hard|standard</t>
  </si>
  <si>
    <t>map</t>
  </si>
  <si>
    <t>beginner|in_the_loop</t>
  </si>
  <si>
    <t>playbook</t>
  </si>
  <si>
    <t>double_cash</t>
  </si>
  <si>
    <t>yes</t>
  </si>
  <si>
    <t>more_cash</t>
  </si>
  <si>
    <t>python_executor</t>
  </si>
  <si>
    <t>script_path</t>
  </si>
  <si>
    <t>loader_script_path</t>
  </si>
  <si>
    <t>files_folder</t>
  </si>
  <si>
    <t>control_path</t>
  </si>
  <si>
    <t>round</t>
  </si>
  <si>
    <t>income</t>
  </si>
  <si>
    <t>expense</t>
  </si>
  <si>
    <t>total_income</t>
  </si>
  <si>
    <t>total_expense</t>
  </si>
  <si>
    <t>net_cash</t>
  </si>
  <si>
    <t>Action1</t>
  </si>
  <si>
    <t>Action2</t>
  </si>
  <si>
    <t>Action3</t>
  </si>
  <si>
    <t>Action4</t>
  </si>
  <si>
    <t>Action5</t>
  </si>
  <si>
    <t>Action6</t>
  </si>
  <si>
    <t>Action7</t>
  </si>
  <si>
    <t>easy|standard</t>
  </si>
  <si>
    <t>easy|primary_only</t>
  </si>
  <si>
    <t>easy|deflation</t>
  </si>
  <si>
    <t>medium|standard</t>
  </si>
  <si>
    <t>medium|military_only</t>
  </si>
  <si>
    <t>medium|apopalypse</t>
  </si>
  <si>
    <t>medium|reverse</t>
  </si>
  <si>
    <t>hard|magic_monkeys_only</t>
  </si>
  <si>
    <t>hard|double_hp_moabs</t>
  </si>
  <si>
    <t>hard|half_cash</t>
  </si>
  <si>
    <t>hard|alternate_bloons_rounds</t>
  </si>
  <si>
    <t>impoppable</t>
  </si>
  <si>
    <t>chimps</t>
  </si>
  <si>
    <t>Tower</t>
  </si>
  <si>
    <t>Name</t>
  </si>
  <si>
    <t>DartMonkey|000</t>
  </si>
  <si>
    <t>Dart Monkey</t>
  </si>
  <si>
    <t>DartMonkey|1xx</t>
  </si>
  <si>
    <t>Sharp Shots</t>
  </si>
  <si>
    <t>DartMonkey|2xx</t>
  </si>
  <si>
    <t>Razor Sharp Shots</t>
  </si>
  <si>
    <t>DartMonkey|3xx</t>
  </si>
  <si>
    <t>Spike-o-pult</t>
  </si>
  <si>
    <t>DartMonkey|4xx</t>
  </si>
  <si>
    <t>Juggernaut</t>
  </si>
  <si>
    <t>DartMonkey|5xx</t>
  </si>
  <si>
    <t>Ultra-Juggernaut</t>
  </si>
  <si>
    <t>DartMonkey|x1x</t>
  </si>
  <si>
    <t>Quick Shots</t>
  </si>
  <si>
    <t>DartMonkey|x2x</t>
  </si>
  <si>
    <t>Very Quick Shots</t>
  </si>
  <si>
    <t>DartMonkey|x3x</t>
  </si>
  <si>
    <t>Triple Shot</t>
  </si>
  <si>
    <t>DartMonkey|x4x</t>
  </si>
  <si>
    <t>Super Monkey Fan Club</t>
  </si>
  <si>
    <t>DartMonkey|x5x</t>
  </si>
  <si>
    <t>Plasma Monkey Fan Club</t>
  </si>
  <si>
    <t>DartMonkey|xx1</t>
  </si>
  <si>
    <t>Long Range Darts</t>
  </si>
  <si>
    <t>DartMonkey|xx2</t>
  </si>
  <si>
    <t>Enhanced Eyesight</t>
  </si>
  <si>
    <t>DartMonkey|xx3</t>
  </si>
  <si>
    <t>Crossbow</t>
  </si>
  <si>
    <t>DartMonkey|xx4</t>
  </si>
  <si>
    <t>Sharo Shooter</t>
  </si>
  <si>
    <t>DartMonkey|xx5</t>
  </si>
  <si>
    <t>Crossbow Master</t>
  </si>
  <si>
    <t>BoomerangMonkey|000</t>
  </si>
  <si>
    <t>Boomerang Monkey</t>
  </si>
  <si>
    <t>BoomerangMonkey|1xx</t>
  </si>
  <si>
    <t>Improved Ranges</t>
  </si>
  <si>
    <t>BoomerangMonkey|2xx</t>
  </si>
  <si>
    <t>Glaives</t>
  </si>
  <si>
    <t>BoomerangMonkey|3xx</t>
  </si>
  <si>
    <t>Glaive Ricochet</t>
  </si>
  <si>
    <t>BoomerangMonkey|4xx</t>
  </si>
  <si>
    <t>M.O.A.R Glaives</t>
  </si>
  <si>
    <t>BoomerangMonkey|5xx</t>
  </si>
  <si>
    <t>Glaive Lord</t>
  </si>
  <si>
    <t>BoomerangMonkey|x1x</t>
  </si>
  <si>
    <t>Faster Throwing</t>
  </si>
  <si>
    <t>BoomerangMonkey|x2x</t>
  </si>
  <si>
    <t>Faster Ranges</t>
  </si>
  <si>
    <t>BoomerangMonkey|x3x</t>
  </si>
  <si>
    <t>Bionic Boomerang</t>
  </si>
  <si>
    <t>BoomerangMonkey|x4x</t>
  </si>
  <si>
    <t>Turbo Charge</t>
  </si>
  <si>
    <t>BoomerangMonkey|x5x</t>
  </si>
  <si>
    <t>Perma Charge</t>
  </si>
  <si>
    <t>BoomerangMonkey|xx1</t>
  </si>
  <si>
    <t>Long Range Rangs</t>
  </si>
  <si>
    <t>BoomerangMonkey|xx2</t>
  </si>
  <si>
    <t>Red Hot Rangs</t>
  </si>
  <si>
    <t>BoomerangMonkey|xx3</t>
  </si>
  <si>
    <t>Kylie Boomerang</t>
  </si>
  <si>
    <t>BoomerangMonkey|xx4</t>
  </si>
  <si>
    <t>MOAB Press</t>
  </si>
  <si>
    <t>BoomerangMonkey|xx5</t>
  </si>
  <si>
    <t>MOAB Domination</t>
  </si>
  <si>
    <t>BombShooter|000</t>
  </si>
  <si>
    <t>Bomb Shooter</t>
  </si>
  <si>
    <t>BombShooter|1xx</t>
  </si>
  <si>
    <t>BombShooter|2xx</t>
  </si>
  <si>
    <t>BombShooter|3xx</t>
  </si>
  <si>
    <t>BombShooter|4xx</t>
  </si>
  <si>
    <t>BombShooter|5xx</t>
  </si>
  <si>
    <t>BombShooter|x1x</t>
  </si>
  <si>
    <t>BombShooter|x2x</t>
  </si>
  <si>
    <t>BombShooter|x3x</t>
  </si>
  <si>
    <t>BombShooter|x4x</t>
  </si>
  <si>
    <t>BombShooter|x5x</t>
  </si>
  <si>
    <t>BombShooter|xx1</t>
  </si>
  <si>
    <t>BombShooter|xx2</t>
  </si>
  <si>
    <t>BombShooter|xx3</t>
  </si>
  <si>
    <t>BombShooter|xx4</t>
  </si>
  <si>
    <t>BombShooter|xx5</t>
  </si>
  <si>
    <t>TackShooter|000</t>
  </si>
  <si>
    <t>Tack Shooter</t>
  </si>
  <si>
    <t>TackShooter|1xx</t>
  </si>
  <si>
    <t>TackShooter|2xx</t>
  </si>
  <si>
    <t>TackShooter|3xx</t>
  </si>
  <si>
    <t>TackShooter|4xx</t>
  </si>
  <si>
    <t>TackShooter|5xx</t>
  </si>
  <si>
    <t>TackShooter|x1x</t>
  </si>
  <si>
    <t>TackShooter|x2x</t>
  </si>
  <si>
    <t>TackShooter|x3x</t>
  </si>
  <si>
    <t>TackShooter|x4x</t>
  </si>
  <si>
    <t>TackShooter|x5x</t>
  </si>
  <si>
    <t>TackShooter|xx1</t>
  </si>
  <si>
    <t>TackShooter|xx2</t>
  </si>
  <si>
    <t>TackShooter|xx3</t>
  </si>
  <si>
    <t>TackShooter|xx4</t>
  </si>
  <si>
    <t>TackShooter|xx5</t>
  </si>
  <si>
    <t>IceMonkey|000</t>
  </si>
  <si>
    <t>Ice Monkey</t>
  </si>
  <si>
    <t>IceMonkey|1xx</t>
  </si>
  <si>
    <t>IceMonkey|2xx</t>
  </si>
  <si>
    <t>IceMonkey|3xx</t>
  </si>
  <si>
    <t>IceMonkey|4xx</t>
  </si>
  <si>
    <t>IceMonkey|5xx</t>
  </si>
  <si>
    <t>IceMonkey|x1x</t>
  </si>
  <si>
    <t>IceMonkey|x2x</t>
  </si>
  <si>
    <t>IceMonkey|x3x</t>
  </si>
  <si>
    <t>IceMonkey|x4x</t>
  </si>
  <si>
    <t>IceMonkey|x5x</t>
  </si>
  <si>
    <t>IceMonkey|xx1</t>
  </si>
  <si>
    <t>IceMonkey|xx2</t>
  </si>
  <si>
    <t>IceMonkey|xx3</t>
  </si>
  <si>
    <t>IceMonkey|xx4</t>
  </si>
  <si>
    <t>IceMonkey|xx5</t>
  </si>
  <si>
    <t>GlueGunner|000</t>
  </si>
  <si>
    <t>Glue Gunner</t>
  </si>
  <si>
    <t>GlueGunner|1xx</t>
  </si>
  <si>
    <t>GlueGunner|2xx</t>
  </si>
  <si>
    <t>GlueGunner|3xx</t>
  </si>
  <si>
    <t>GlueGunner|4xx</t>
  </si>
  <si>
    <t>GlueGunner|5xx</t>
  </si>
  <si>
    <t>GlueGunner|x1x</t>
  </si>
  <si>
    <t>GlueGunner|x2x</t>
  </si>
  <si>
    <t>GlueGunner|x3x</t>
  </si>
  <si>
    <t>GlueGunner|x4x</t>
  </si>
  <si>
    <t>GlueGunner|x5x</t>
  </si>
  <si>
    <t>GlueGunner|xx1</t>
  </si>
  <si>
    <t>GlueGunner|xx2</t>
  </si>
  <si>
    <t>GlueGunner|xx3</t>
  </si>
  <si>
    <t>GlueGunner|xx4</t>
  </si>
  <si>
    <t>GlueGunner|xx5</t>
  </si>
  <si>
    <t>SniperMonkey|000</t>
  </si>
  <si>
    <t>Sniper Monkey</t>
  </si>
  <si>
    <t>SniperMonkey|1xx</t>
  </si>
  <si>
    <t>Full Metal Jacket</t>
  </si>
  <si>
    <t>SniperMonkey|2xx</t>
  </si>
  <si>
    <t>Large Calibre</t>
  </si>
  <si>
    <t>SniperMonkey|3xx</t>
  </si>
  <si>
    <t>Deadly Precision</t>
  </si>
  <si>
    <t>SniperMonkey|4xx</t>
  </si>
  <si>
    <t>Maim MOAB</t>
  </si>
  <si>
    <t>SniperMonkey|5xx</t>
  </si>
  <si>
    <t>Cripple MOAB</t>
  </si>
  <si>
    <t>SniperMonkey|x1x</t>
  </si>
  <si>
    <t>Night Vision Goggles</t>
  </si>
  <si>
    <t>SniperMonkey|x2x</t>
  </si>
  <si>
    <t>Shrapnel Shot</t>
  </si>
  <si>
    <t>SniperMonkey|x3x</t>
  </si>
  <si>
    <t>Bouncing Bullet</t>
  </si>
  <si>
    <t>SniperMonkey|x4x</t>
  </si>
  <si>
    <t>Supply Drop</t>
  </si>
  <si>
    <t>SniperMonkey|x5x</t>
  </si>
  <si>
    <t>Elite Sniper</t>
  </si>
  <si>
    <t>SniperMonkey|xx1</t>
  </si>
  <si>
    <t>Fast Firing</t>
  </si>
  <si>
    <t>SniperMonkey|xx2</t>
  </si>
  <si>
    <t>Even Faster Firing</t>
  </si>
  <si>
    <t>SniperMonkey|xx3</t>
  </si>
  <si>
    <t>Semi-Automatic</t>
  </si>
  <si>
    <t>SniperMonkey|xx4</t>
  </si>
  <si>
    <t>Full Auto Rifle</t>
  </si>
  <si>
    <t>SniperMonkey|xx5</t>
  </si>
  <si>
    <t>Elite Defender</t>
  </si>
  <si>
    <t>MonkeySub|000</t>
  </si>
  <si>
    <t>Monkey Sub</t>
  </si>
  <si>
    <t>MonkeySub|1xx</t>
  </si>
  <si>
    <t>MonkeySub|2xx</t>
  </si>
  <si>
    <t>MonkeySub|3xx</t>
  </si>
  <si>
    <t>MonkeySub|4xx</t>
  </si>
  <si>
    <t>MonkeySub|5xx</t>
  </si>
  <si>
    <t>MonkeySub|x1x</t>
  </si>
  <si>
    <t>MonkeySub|x2x</t>
  </si>
  <si>
    <t>MonkeySub|x3x</t>
  </si>
  <si>
    <t>MonkeySub|x4x</t>
  </si>
  <si>
    <t>MonkeySub|x5x</t>
  </si>
  <si>
    <t>MonkeySub|xx1</t>
  </si>
  <si>
    <t>MonkeySub|xx2</t>
  </si>
  <si>
    <t>MonkeySub|xx3</t>
  </si>
  <si>
    <t>MonkeySub|xx4</t>
  </si>
  <si>
    <t>MonkeySub|xx5</t>
  </si>
  <si>
    <t>MonkeyBuccaneer|000</t>
  </si>
  <si>
    <t>Monkey Buccaneer</t>
  </si>
  <si>
    <t>MonkeyBuccaneer|1xx</t>
  </si>
  <si>
    <t>MonkeyBuccaneer|2xx</t>
  </si>
  <si>
    <t>MonkeyBuccaneer|3xx</t>
  </si>
  <si>
    <t>MonkeyBuccaneer|4xx</t>
  </si>
  <si>
    <t>MonkeyBuccaneer|5xx</t>
  </si>
  <si>
    <t>MonkeyBuccaneer|x1x</t>
  </si>
  <si>
    <t>MonkeyBuccaneer|x2x</t>
  </si>
  <si>
    <t>MonkeyBuccaneer|x3x</t>
  </si>
  <si>
    <t>MonkeyBuccaneer|x4x</t>
  </si>
  <si>
    <t>MonkeyBuccaneer|x5x</t>
  </si>
  <si>
    <t>MonkeyBuccaneer|xx1</t>
  </si>
  <si>
    <t>MonkeyBuccaneer|xx2</t>
  </si>
  <si>
    <t>MonkeyBuccaneer|xx3</t>
  </si>
  <si>
    <t>MonkeyBuccaneer|xx4</t>
  </si>
  <si>
    <t>MonkeyBuccaneer|xx5</t>
  </si>
  <si>
    <t>MonkeyAce|000</t>
  </si>
  <si>
    <t>Monkey Ace</t>
  </si>
  <si>
    <t>MonkeyAce|1xx</t>
  </si>
  <si>
    <t>MonkeyAce|2xx</t>
  </si>
  <si>
    <t>MonkeyAce|3xx</t>
  </si>
  <si>
    <t>MonkeyAce|4xx</t>
  </si>
  <si>
    <t>MonkeyAce|5xx</t>
  </si>
  <si>
    <t>MonkeyAce|x1x</t>
  </si>
  <si>
    <t>MonkeyAce|x2x</t>
  </si>
  <si>
    <t>MonkeyAce|x3x</t>
  </si>
  <si>
    <t>MonkeyAce|x4x</t>
  </si>
  <si>
    <t>MonkeyAce|x5x</t>
  </si>
  <si>
    <t>MonkeyAce|xx1</t>
  </si>
  <si>
    <t>MonkeyAce|xx2</t>
  </si>
  <si>
    <t>MonkeyAce|xx3</t>
  </si>
  <si>
    <t>MonkeyAce|xx4</t>
  </si>
  <si>
    <t>MonkeyAce|xx5</t>
  </si>
  <si>
    <t>HeliPilot|000</t>
  </si>
  <si>
    <t>Heli Pilot</t>
  </si>
  <si>
    <t>HeliPilot|1xx</t>
  </si>
  <si>
    <t>HeliPilot|2xx</t>
  </si>
  <si>
    <t>HeliPilot|3xx</t>
  </si>
  <si>
    <t>HeliPilot|4xx</t>
  </si>
  <si>
    <t>HeliPilot|5xx</t>
  </si>
  <si>
    <t>HeliPilot|x1x</t>
  </si>
  <si>
    <t>HeliPilot|x2x</t>
  </si>
  <si>
    <t>HeliPilot|x3x</t>
  </si>
  <si>
    <t>HeliPilot|x4x</t>
  </si>
  <si>
    <t>HeliPilot|x5x</t>
  </si>
  <si>
    <t>HeliPilot|xx1</t>
  </si>
  <si>
    <t>HeliPilot|xx2</t>
  </si>
  <si>
    <t>HeliPilot|xx3</t>
  </si>
  <si>
    <t>HeliPilot|xx4</t>
  </si>
  <si>
    <t>HeliPilot|xx5</t>
  </si>
  <si>
    <t>MortarMonkey|000</t>
  </si>
  <si>
    <t>Mortar Monkey</t>
  </si>
  <si>
    <t>MortarMonkey|1xx</t>
  </si>
  <si>
    <t>MortarMonkey|2xx</t>
  </si>
  <si>
    <t>MortarMonkey|3xx</t>
  </si>
  <si>
    <t>MortarMonkey|4xx</t>
  </si>
  <si>
    <t>MortarMonkey|5xx</t>
  </si>
  <si>
    <t>MortarMonkey|x1x</t>
  </si>
  <si>
    <t>MortarMonkey|x2x</t>
  </si>
  <si>
    <t>MortarMonkey|x3x</t>
  </si>
  <si>
    <t>MortarMonkey|x4x</t>
  </si>
  <si>
    <t>MortarMonkey|x5x</t>
  </si>
  <si>
    <t>MortarMonkey|xx1</t>
  </si>
  <si>
    <t>MortarMonkey|xx2</t>
  </si>
  <si>
    <t>MortarMonkey|xx3</t>
  </si>
  <si>
    <t>MortarMonkey|xx4</t>
  </si>
  <si>
    <t>MortarMonkey|xx5</t>
  </si>
  <si>
    <t>DartlingGunner|000</t>
  </si>
  <si>
    <t>Dartling Gunner</t>
  </si>
  <si>
    <t>DartlingGunner|1xx</t>
  </si>
  <si>
    <t>DartlingGunner|2xx</t>
  </si>
  <si>
    <t>DartlingGunner|3xx</t>
  </si>
  <si>
    <t>DartlingGunner|4xx</t>
  </si>
  <si>
    <t>DartlingGunner|5xx</t>
  </si>
  <si>
    <t>DartlingGunner|x1x</t>
  </si>
  <si>
    <t>DartlingGunner|x2x</t>
  </si>
  <si>
    <t>DartlingGunner|x3x</t>
  </si>
  <si>
    <t>DartlingGunner|x4x</t>
  </si>
  <si>
    <t>DartlingGunner|x5x</t>
  </si>
  <si>
    <t>DartlingGunner|xx1</t>
  </si>
  <si>
    <t>DartlingGunner|xx2</t>
  </si>
  <si>
    <t>DartlingGunner|xx3</t>
  </si>
  <si>
    <t>DartlingGunner|xx4</t>
  </si>
  <si>
    <t>DartlingGunner|xx5</t>
  </si>
  <si>
    <t>WizardMonkey|000</t>
  </si>
  <si>
    <t>Wizard Monkey</t>
  </si>
  <si>
    <t>WizardMonkey|1xx</t>
  </si>
  <si>
    <t>WizardMonkey|2xx</t>
  </si>
  <si>
    <t>WizardMonkey|3xx</t>
  </si>
  <si>
    <t>WizardMonkey|4xx</t>
  </si>
  <si>
    <t>WizardMonkey|5xx</t>
  </si>
  <si>
    <t>WizardMonkey|x1x</t>
  </si>
  <si>
    <t>WizardMonkey|x2x</t>
  </si>
  <si>
    <t>WizardMonkey|x3x</t>
  </si>
  <si>
    <t>WizardMonkey|x4x</t>
  </si>
  <si>
    <t>WizardMonkey|x5x</t>
  </si>
  <si>
    <t>WizardMonkey|xx1</t>
  </si>
  <si>
    <t>SuperMonkey|000</t>
  </si>
  <si>
    <t>Super Monkey</t>
  </si>
  <si>
    <t>SuperMonkey|1xx</t>
  </si>
  <si>
    <t>SuperMonkey|2xx</t>
  </si>
  <si>
    <t>SuperMonkey|3xx</t>
  </si>
  <si>
    <t>SuperMonkey|4xx</t>
  </si>
  <si>
    <t>SuperMonkey|5xx</t>
  </si>
  <si>
    <t>SuperMonkey|x1x</t>
  </si>
  <si>
    <t>SuperMonkey|x2x</t>
  </si>
  <si>
    <t>SuperMonkey|x3x</t>
  </si>
  <si>
    <t>SuperMonkey|x4x</t>
  </si>
  <si>
    <t>SuperMonkey|x5x</t>
  </si>
  <si>
    <t>SuperMonkey|xx1</t>
  </si>
  <si>
    <t>SuperMonkey|xx2</t>
  </si>
  <si>
    <t>SuperMonkey|xx3</t>
  </si>
  <si>
    <t>SuperMonkey|xx4</t>
  </si>
  <si>
    <t>SuperMonkey|xx5</t>
  </si>
  <si>
    <t>NinjaMonkey|000</t>
  </si>
  <si>
    <t>Ninja Monkey</t>
  </si>
  <si>
    <t>NinjaMonkey|1xx</t>
  </si>
  <si>
    <t>Ninja Discipline</t>
  </si>
  <si>
    <t>NinjaMonkey|2xx</t>
  </si>
  <si>
    <t>Sharp Shurikens</t>
  </si>
  <si>
    <t>NinjaMonkey|3xx</t>
  </si>
  <si>
    <t>Double Shot</t>
  </si>
  <si>
    <t>NinjaMonkey|4xx</t>
  </si>
  <si>
    <t>Bloonjitsu</t>
  </si>
  <si>
    <t>NinjaMonkey|5xx</t>
  </si>
  <si>
    <t>Grandmaster Ninja</t>
  </si>
  <si>
    <t>NinjaMonkey|x1x</t>
  </si>
  <si>
    <t>Distraction</t>
  </si>
  <si>
    <t>NinjaMonkey|x2x</t>
  </si>
  <si>
    <t>Counter-Espionage</t>
  </si>
  <si>
    <t>NinjaMonkey|x3x</t>
  </si>
  <si>
    <t>Shinobi Tactics</t>
  </si>
  <si>
    <t>NinjaMonkey|x4x</t>
  </si>
  <si>
    <t>Bloon Sabotage</t>
  </si>
  <si>
    <t>NinjaMonkey|x5x</t>
  </si>
  <si>
    <t>Grand Saboteur</t>
  </si>
  <si>
    <t>NinjaMonkey|xx1</t>
  </si>
  <si>
    <t>Seeking Shuriken</t>
  </si>
  <si>
    <t>NinjaMonkey|xx2</t>
  </si>
  <si>
    <t>Caltrops</t>
  </si>
  <si>
    <t>NinjaMonkey|xx3</t>
  </si>
  <si>
    <t>Flash Bomb</t>
  </si>
  <si>
    <t>NinjaMonkey|xx4</t>
  </si>
  <si>
    <t>Sticky Bomb</t>
  </si>
  <si>
    <t>NinjaMonkey|xx5</t>
  </si>
  <si>
    <t>Master Bomber</t>
  </si>
  <si>
    <t>Alchemist|000</t>
  </si>
  <si>
    <t>Alchemist</t>
  </si>
  <si>
    <t>Alchemist|1xx</t>
  </si>
  <si>
    <t>Alchemist|2xx</t>
  </si>
  <si>
    <t>Alchemist|3xx</t>
  </si>
  <si>
    <t>Alchemist|4xx</t>
  </si>
  <si>
    <t>Alchemist|5xx</t>
  </si>
  <si>
    <t>Alchemist|x1x</t>
  </si>
  <si>
    <t>Alchemist|x2x</t>
  </si>
  <si>
    <t>Alchemist|x3x</t>
  </si>
  <si>
    <t>Alchemist|x4x</t>
  </si>
  <si>
    <t>Alchemist|x5x</t>
  </si>
  <si>
    <t>Alchemist|xx1</t>
  </si>
  <si>
    <t>Alchemist|xx2</t>
  </si>
  <si>
    <t>Alchemist|xx3</t>
  </si>
  <si>
    <t>Alchemist|xx4</t>
  </si>
  <si>
    <t>Alchemist|xx5</t>
  </si>
  <si>
    <t>Druid|000</t>
  </si>
  <si>
    <t>Druid</t>
  </si>
  <si>
    <t>Druid|1xx</t>
  </si>
  <si>
    <t>Druid|2xx</t>
  </si>
  <si>
    <t>Druid|3xx</t>
  </si>
  <si>
    <t>Druid|4xx</t>
  </si>
  <si>
    <t>Druid|5xx</t>
  </si>
  <si>
    <t>Druid|x1x</t>
  </si>
  <si>
    <t>Druid|x2x</t>
  </si>
  <si>
    <t>Druid|x3x</t>
  </si>
  <si>
    <t>Druid|x4x</t>
  </si>
  <si>
    <t>Druid|x5x</t>
  </si>
  <si>
    <t>Druid|xx1</t>
  </si>
  <si>
    <t>Druid|xx2</t>
  </si>
  <si>
    <t>Druid|xx3</t>
  </si>
  <si>
    <t>Druid|xx4</t>
  </si>
  <si>
    <t>Druid|xx5</t>
  </si>
  <si>
    <t>BananaFarm|000</t>
  </si>
  <si>
    <t>Banana Farm</t>
  </si>
  <si>
    <t>BananaFarm|1xx</t>
  </si>
  <si>
    <t>BananaFarm|2xx</t>
  </si>
  <si>
    <t>BananaFarm|3xx</t>
  </si>
  <si>
    <t>BananaFarm|4xx</t>
  </si>
  <si>
    <t>BananaFarm|5xx</t>
  </si>
  <si>
    <t>BananaFarm|x1x</t>
  </si>
  <si>
    <t>BananaFarm|x2x</t>
  </si>
  <si>
    <t>BananaFarm|x3x</t>
  </si>
  <si>
    <t>BananaFarm|x4x</t>
  </si>
  <si>
    <t>BananaFarm|x5x</t>
  </si>
  <si>
    <t>BananaFarm|xx1</t>
  </si>
  <si>
    <t>BananaFarm|xx2</t>
  </si>
  <si>
    <t>BananaFarm|xx3</t>
  </si>
  <si>
    <t>BananaFarm|xx4</t>
  </si>
  <si>
    <t>BananaFarm|xx5</t>
  </si>
  <si>
    <t>SpikeFactory|000</t>
  </si>
  <si>
    <t>Spike Factory</t>
  </si>
  <si>
    <t>SpikeFactory|1xx</t>
  </si>
  <si>
    <t>SpikeFactory|2xx</t>
  </si>
  <si>
    <t>SpikeFactory|3xx</t>
  </si>
  <si>
    <t>SpikeFactory|4xx</t>
  </si>
  <si>
    <t>SpikeFactory|5xx</t>
  </si>
  <si>
    <t>SpikeFactory|x1x</t>
  </si>
  <si>
    <t>SpikeFactory|x2x</t>
  </si>
  <si>
    <t>SpikeFactory|x3x</t>
  </si>
  <si>
    <t>SpikeFactory|x4x</t>
  </si>
  <si>
    <t>SpikeFactory|x5x</t>
  </si>
  <si>
    <t>SpikeFactory|xx1</t>
  </si>
  <si>
    <t>SpikeFactory|xx2</t>
  </si>
  <si>
    <t>SpikeFactory|xx3</t>
  </si>
  <si>
    <t>SpikeFactory|xx4</t>
  </si>
  <si>
    <t>SpikeFactory|xx5</t>
  </si>
  <si>
    <t>MonkeyVillage|000</t>
  </si>
  <si>
    <t>Monkey Village</t>
  </si>
  <si>
    <t>MonkeyVillage|1xx</t>
  </si>
  <si>
    <t>MonkeyVillage|2xx</t>
  </si>
  <si>
    <t>MonkeyVillage|3xx</t>
  </si>
  <si>
    <t>MonkeyVillage|4xx</t>
  </si>
  <si>
    <t>MonkeyVillage|5xx</t>
  </si>
  <si>
    <t>MonkeyVillage|x1x</t>
  </si>
  <si>
    <t>MonkeyVillage|x2x</t>
  </si>
  <si>
    <t>MonkeyVillage|x3x</t>
  </si>
  <si>
    <t>MonkeyVillage|x4x</t>
  </si>
  <si>
    <t>MonkeyVillage|x5x</t>
  </si>
  <si>
    <t>MonkeyVillage|xx1</t>
  </si>
  <si>
    <t>MonkeyVillage|xx2</t>
  </si>
  <si>
    <t>MonkeyVillage|xx3</t>
  </si>
  <si>
    <t>MonkeyVillage|xx4</t>
  </si>
  <si>
    <t>MonkeyVillage|xx5</t>
  </si>
  <si>
    <t>EngineerMonkey|000</t>
  </si>
  <si>
    <t>Engineer Monkey</t>
  </si>
  <si>
    <t>EngineerMonkey|1xx</t>
  </si>
  <si>
    <t>EngineerMonkey|2xx</t>
  </si>
  <si>
    <t>EngineerMonkey|3xx</t>
  </si>
  <si>
    <t>EngineerMonkey|4xx</t>
  </si>
  <si>
    <t>EngineerMonkey|5xx</t>
  </si>
  <si>
    <t>EngineerMonkey|x1x</t>
  </si>
  <si>
    <t>EngineerMonkey|x2x</t>
  </si>
  <si>
    <t>EngineerMonkey|x3x</t>
  </si>
  <si>
    <t>EngineerMonkey|x4x</t>
  </si>
  <si>
    <t>EngineerMonkey|x5x</t>
  </si>
  <si>
    <t>EngineerMonkey|xx1</t>
  </si>
  <si>
    <t>EngineerMonkey|xx2</t>
  </si>
  <si>
    <t>EngineerMonkey|xx3</t>
  </si>
  <si>
    <t>EngineerMonkey|xx4</t>
  </si>
  <si>
    <t>EngineerMonkey|xx5</t>
  </si>
  <si>
    <t>BeastHandler|000</t>
  </si>
  <si>
    <t>Beast Handler</t>
  </si>
  <si>
    <t>BeastHandler|1xx</t>
  </si>
  <si>
    <t>Piranha</t>
  </si>
  <si>
    <t>BeastHandler|2xx</t>
  </si>
  <si>
    <t>Barracuda</t>
  </si>
  <si>
    <t>BeastHandler|3xx</t>
  </si>
  <si>
    <t>Great White</t>
  </si>
  <si>
    <t>BeastHandler|4xx</t>
  </si>
  <si>
    <t>Orca</t>
  </si>
  <si>
    <t>BeastHandler|5xx</t>
  </si>
  <si>
    <t>Megadolon</t>
  </si>
  <si>
    <t>BeastHandler|x1x</t>
  </si>
  <si>
    <t>Microraptor</t>
  </si>
  <si>
    <t>BeastHandler|x2x</t>
  </si>
  <si>
    <t>Adasaurus</t>
  </si>
  <si>
    <t>BeastHandler|x3x</t>
  </si>
  <si>
    <t>Velociraptor</t>
  </si>
  <si>
    <t>BeastHandler|x4x</t>
  </si>
  <si>
    <t>Tyrannosaurus Rex</t>
  </si>
  <si>
    <t>BeastHandler|x5x</t>
  </si>
  <si>
    <t>Giganotosaurus</t>
  </si>
  <si>
    <t>BeastHandler|xx1</t>
  </si>
  <si>
    <t>Gyrfalcon</t>
  </si>
  <si>
    <t>BeastHandler|xx2</t>
  </si>
  <si>
    <t>Horned Owl</t>
  </si>
  <si>
    <t>BeastHandler|xx3</t>
  </si>
  <si>
    <t>Golden Eagle</t>
  </si>
  <si>
    <t>BeastHandler|xx4</t>
  </si>
  <si>
    <t>Giant Condor</t>
  </si>
  <si>
    <t>BeastHandler|xx5</t>
  </si>
  <si>
    <t>Pouakai</t>
  </si>
  <si>
    <t>action</t>
  </si>
  <si>
    <t>hotkey</t>
  </si>
  <si>
    <t>DartMonkey</t>
  </si>
  <si>
    <t>q</t>
  </si>
  <si>
    <t>BoomerangMonkey</t>
  </si>
  <si>
    <t>w</t>
  </si>
  <si>
    <t>BombShooter</t>
  </si>
  <si>
    <t>e</t>
  </si>
  <si>
    <t>TackShooter</t>
  </si>
  <si>
    <t>r</t>
  </si>
  <si>
    <t>IceMonkey</t>
  </si>
  <si>
    <t>t</t>
  </si>
  <si>
    <t>GlueGunner</t>
  </si>
  <si>
    <t>y</t>
  </si>
  <si>
    <t>SniperMonkey</t>
  </si>
  <si>
    <t>z</t>
  </si>
  <si>
    <t>MonkeySub</t>
  </si>
  <si>
    <t>x</t>
  </si>
  <si>
    <t>MonkeyBuccaneer</t>
  </si>
  <si>
    <t>c</t>
  </si>
  <si>
    <t>MonkeyAce</t>
  </si>
  <si>
    <t>v</t>
  </si>
  <si>
    <t>HeliPilot</t>
  </si>
  <si>
    <t>b</t>
  </si>
  <si>
    <t>MortarMonkey</t>
  </si>
  <si>
    <t>n</t>
  </si>
  <si>
    <t>DartlingGunner</t>
  </si>
  <si>
    <t>m</t>
  </si>
  <si>
    <t>WizardMonkey</t>
  </si>
  <si>
    <t>a</t>
  </si>
  <si>
    <t>SuperMonkey</t>
  </si>
  <si>
    <t>s</t>
  </si>
  <si>
    <t>NinjaMonkey</t>
  </si>
  <si>
    <t>d</t>
  </si>
  <si>
    <t>f</t>
  </si>
  <si>
    <t>g</t>
  </si>
  <si>
    <t>BananaFarm</t>
  </si>
  <si>
    <t>h</t>
  </si>
  <si>
    <t>EngineerMonkey</t>
  </si>
  <si>
    <t>l</t>
  </si>
  <si>
    <t>j</t>
  </si>
  <si>
    <t>MonkeyVillage</t>
  </si>
  <si>
    <t>k</t>
  </si>
  <si>
    <t>BeastHandler</t>
  </si>
  <si>
    <t>i</t>
  </si>
  <si>
    <t>u</t>
  </si>
  <si>
    <t>UpgradePath1</t>
  </si>
  <si>
    <t>965,365</t>
  </si>
  <si>
    <t>UpgradePath2</t>
  </si>
  <si>
    <t>965,465</t>
  </si>
  <si>
    <t>UpgradePath3</t>
  </si>
  <si>
    <t>965,565</t>
  </si>
  <si>
    <t>RevserseChangeTargeting</t>
  </si>
  <si>
    <t>Ctrl;Tab</t>
  </si>
  <si>
    <t>MonkeySpecial</t>
  </si>
  <si>
    <t>PageDown</t>
  </si>
  <si>
    <t>MonkeySpecial2</t>
  </si>
  <si>
    <t>PageUp</t>
  </si>
  <si>
    <t>Sell</t>
  </si>
  <si>
    <t>Backspace</t>
  </si>
  <si>
    <t>Play/Fast Forward</t>
  </si>
  <si>
    <t>Space</t>
  </si>
  <si>
    <t>Pause</t>
  </si>
  <si>
    <t>Backquote</t>
  </si>
  <si>
    <t>ActivatedAbility1</t>
  </si>
  <si>
    <t>ActivatedAbility2</t>
  </si>
  <si>
    <t>ActivatedAbility3</t>
  </si>
  <si>
    <t>ActivatedAbility4</t>
  </si>
  <si>
    <t>ActivatedAbility5</t>
  </si>
  <si>
    <t>ActivatedAbility6</t>
  </si>
  <si>
    <t>ActivatedAbility7</t>
  </si>
  <si>
    <t>ActivatedAbility8</t>
  </si>
  <si>
    <t>ActivatedAbility9</t>
  </si>
  <si>
    <t>ActivatedAbility10</t>
  </si>
  <si>
    <t>ActivatedAbility11</t>
  </si>
  <si>
    <t>-</t>
  </si>
  <si>
    <t>ActivatedAbility12</t>
  </si>
  <si>
    <t>=</t>
  </si>
  <si>
    <t>maps</t>
  </si>
  <si>
    <t>double_gold</t>
  </si>
  <si>
    <t>beginner|monkey_meadow</t>
  </si>
  <si>
    <t>no</t>
  </si>
  <si>
    <t>beginner|middle_of_the_road</t>
  </si>
  <si>
    <t>beginner|tree_stump</t>
  </si>
  <si>
    <t>beginner|town_center</t>
  </si>
  <si>
    <t>beginner|one_two_three</t>
  </si>
  <si>
    <t>beginner|scrapyard</t>
  </si>
  <si>
    <t>beginner|the_cabin</t>
  </si>
  <si>
    <t>beginner|resort</t>
  </si>
  <si>
    <t>beginner|skates</t>
  </si>
  <si>
    <t>beginner|lotus_island</t>
  </si>
  <si>
    <t>beginner|candy_falls</t>
  </si>
  <si>
    <t>beginner|winter_park</t>
  </si>
  <si>
    <t>begnner|carved</t>
  </si>
  <si>
    <t>beginner|park_path</t>
  </si>
  <si>
    <t>beginner|alpine_run</t>
  </si>
  <si>
    <t>beginner|frozen_over</t>
  </si>
  <si>
    <t>beginner|cubism</t>
  </si>
  <si>
    <t>beginner|four_circles</t>
  </si>
  <si>
    <t>beginner|hedge</t>
  </si>
  <si>
    <t>beginner|end_of_the_road</t>
  </si>
  <si>
    <t>beginner|logs</t>
  </si>
  <si>
    <t>intermediate|sulfur_springs</t>
  </si>
  <si>
    <t>intermediate|water_park</t>
  </si>
  <si>
    <t>intermediate|polyphemus</t>
  </si>
  <si>
    <t>intermediate|covered_garden</t>
  </si>
  <si>
    <t>intermediate|quarry</t>
  </si>
  <si>
    <t>intermediate|quiet_street</t>
  </si>
  <si>
    <t>intermediate|bloonarius_prime</t>
  </si>
  <si>
    <t>intermediate|balance</t>
  </si>
  <si>
    <t>intermediate|encrypted</t>
  </si>
  <si>
    <t>intermediate|bazaar</t>
  </si>
  <si>
    <t>intermediate|adoras_temple</t>
  </si>
  <si>
    <t>intermediate|spring_srping</t>
  </si>
  <si>
    <t>intermediate|kartsndarts</t>
  </si>
  <si>
    <t>intermediate|moon_landing</t>
  </si>
  <si>
    <t>intermediate|haunted</t>
  </si>
  <si>
    <t>intermediate|downstram</t>
  </si>
  <si>
    <t>intermediate|firing_range</t>
  </si>
  <si>
    <t>intermediate|cracked</t>
  </si>
  <si>
    <t>intermediate|streambed</t>
  </si>
  <si>
    <t>intermediate|chutes</t>
  </si>
  <si>
    <t>intermediate|rake</t>
  </si>
  <si>
    <t>intermediate|spice_islands</t>
  </si>
  <si>
    <t>advanced|castle_revenge</t>
  </si>
  <si>
    <t>advanced|dark_path</t>
  </si>
  <si>
    <t>advanced|erosion</t>
  </si>
  <si>
    <t>advanced|midnight_mansion</t>
  </si>
  <si>
    <t>advanced|sunken_columns</t>
  </si>
  <si>
    <t>advanced|x_factor</t>
  </si>
  <si>
    <t>advanced|mesa</t>
  </si>
  <si>
    <t>advanced|geared</t>
  </si>
  <si>
    <t>advanced|spillway</t>
  </si>
  <si>
    <t>advanced|cargo</t>
  </si>
  <si>
    <t>advanced|pats_pond</t>
  </si>
  <si>
    <t>advanced|peninsula</t>
  </si>
  <si>
    <t>advanced|high_finance</t>
  </si>
  <si>
    <t>advanced|another_brick</t>
  </si>
  <si>
    <t>advanced|off_the_coast</t>
  </si>
  <si>
    <t>advanced|cornfield</t>
  </si>
  <si>
    <t>advanced|underground</t>
  </si>
  <si>
    <t>expert|glacial_trail</t>
  </si>
  <si>
    <t>expert|dark_dungeons</t>
  </si>
  <si>
    <t>expert|sanctuary</t>
  </si>
  <si>
    <t>expert|ravine</t>
  </si>
  <si>
    <t>expert|flooded_valley</t>
  </si>
  <si>
    <t>expert|infernal</t>
  </si>
  <si>
    <t>WizardMonkey|xx2</t>
  </si>
  <si>
    <t>WizardMonkey|xx3</t>
  </si>
  <si>
    <t>WizardMonkey|xx4</t>
  </si>
  <si>
    <t>WizardMonkey|xx5</t>
  </si>
  <si>
    <t>Quincy</t>
  </si>
  <si>
    <t>Quincy|000</t>
  </si>
  <si>
    <t>Alias|Tower|Coordinates</t>
  </si>
  <si>
    <t>Tower|Alias|Coordinates</t>
  </si>
  <si>
    <t>Alias</t>
  </si>
  <si>
    <t>Coordinates</t>
  </si>
  <si>
    <t>SUM</t>
  </si>
  <si>
    <t>Dart1|000</t>
  </si>
  <si>
    <t>easy</t>
  </si>
  <si>
    <t>medium</t>
  </si>
  <si>
    <t>hard</t>
  </si>
  <si>
    <t>difficulty_col</t>
  </si>
  <si>
    <t>Dart1|xx1</t>
  </si>
  <si>
    <t>Round</t>
  </si>
  <si>
    <t>Spike1|000</t>
  </si>
  <si>
    <t>Village1|000</t>
  </si>
  <si>
    <t>Alchi1|000</t>
  </si>
  <si>
    <t>Ace1|000</t>
  </si>
  <si>
    <t>Druid1|000</t>
  </si>
  <si>
    <t>SpikeFactory</t>
  </si>
  <si>
    <t>Dart1|xx2</t>
  </si>
  <si>
    <t>Dart1|xx3</t>
  </si>
  <si>
    <t>Dart1|x1x</t>
  </si>
  <si>
    <t>Dart1|x2x</t>
  </si>
  <si>
    <t>Druid1|1xx</t>
  </si>
  <si>
    <t>Druid1|x1x</t>
  </si>
  <si>
    <t>Druid1|x2x</t>
  </si>
  <si>
    <t>Druid1|x3x</t>
  </si>
  <si>
    <t>Village1|1xx</t>
  </si>
  <si>
    <t>Village1|2xx</t>
  </si>
  <si>
    <t>Village1|x1x</t>
  </si>
  <si>
    <t>Village1|x2x</t>
  </si>
  <si>
    <t>Spike1|1xx</t>
  </si>
  <si>
    <t>Spike1|2xx</t>
  </si>
  <si>
    <t>Spike1|x1x</t>
  </si>
  <si>
    <t>Spike1|x2x</t>
  </si>
  <si>
    <t>Spike1|x3x</t>
  </si>
  <si>
    <t>Spike1|x4x</t>
  </si>
  <si>
    <t>Spike1|x5x</t>
  </si>
  <si>
    <t>Alchi1|x1x</t>
  </si>
  <si>
    <t>Alchi1|x2x</t>
  </si>
  <si>
    <t>Alchi1|1xx</t>
  </si>
  <si>
    <t>Alchi1|2xx</t>
  </si>
  <si>
    <t>Alchi1|3xx</t>
  </si>
  <si>
    <t>Alchi1|4xx</t>
  </si>
  <si>
    <t>Druid1|x4x</t>
  </si>
  <si>
    <t>Ace1|1xx</t>
  </si>
  <si>
    <t>Ace1|2xx</t>
  </si>
  <si>
    <t>Ace1|xx1</t>
  </si>
  <si>
    <t>Ace1|xx2</t>
  </si>
  <si>
    <t>Ace1|xx3</t>
  </si>
  <si>
    <t>Ace1|xx4</t>
  </si>
  <si>
    <t>Dart1|xx4</t>
  </si>
  <si>
    <t>Dart1|xx5</t>
  </si>
  <si>
    <t>C:/Youtube/BloonsTD6_BOT/src/main.py</t>
  </si>
  <si>
    <t>C:/Youtube/BloonsTD6_BOT/src/control.py</t>
  </si>
  <si>
    <t>C:/Youtube/BloonsTD6_BOT/src/data/files</t>
  </si>
  <si>
    <t>C:/Youtube/BloonsTD6_BOT/src/control.xlsm</t>
  </si>
  <si>
    <t>C:/Youtube/BloonsTD6_BOT/venv/Scripts/python.exe</t>
  </si>
  <si>
    <t>v1</t>
  </si>
  <si>
    <t>beginner|tinkerton</t>
  </si>
  <si>
    <t>Quincy|Quincy|237,306</t>
  </si>
  <si>
    <t>Dart1|DartMonkey|266,359</t>
  </si>
  <si>
    <t>Druid1|Druid|394,318</t>
  </si>
  <si>
    <t>Alchi1|Alchemist|360,480</t>
  </si>
  <si>
    <t>Ace1|MonkeyAce|429,468</t>
  </si>
  <si>
    <t>Spike1|SpikeFactory|460,300</t>
  </si>
  <si>
    <t>Village1|MonkeyVillage|429,380</t>
  </si>
  <si>
    <t>Village1|x3x</t>
  </si>
  <si>
    <t>Village1|x4x</t>
  </si>
  <si>
    <t>Gwendolin|000</t>
  </si>
  <si>
    <t>StrikerJones|000</t>
  </si>
  <si>
    <t>ObynGreenfoot|000</t>
  </si>
  <si>
    <t>Rosalia|000</t>
  </si>
  <si>
    <t>CaptainChurchill|000</t>
  </si>
  <si>
    <t>Benjamin|000</t>
  </si>
  <si>
    <t>PatFusty|000</t>
  </si>
  <si>
    <t>Ezili|000</t>
  </si>
  <si>
    <t>Adora|000</t>
  </si>
  <si>
    <t>Etienne|000</t>
  </si>
  <si>
    <t>Sauda|000</t>
  </si>
  <si>
    <t>AdiralBrickell|000</t>
  </si>
  <si>
    <t>PSI|000</t>
  </si>
  <si>
    <t>Geraldo|000</t>
  </si>
  <si>
    <t>Corvus|000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</si>
</sst>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_ * #,##0_ ;_ * \-#,##0_ ;_ * &quot;-&quot;??_ ;_ @_ "/>
    <numFmt numFmtId="166" formatCode="[$-F400]h:mm:ss\ AM/PM"/>
    <numFmt numFmtId="167" formatCode="_(* #,##0_);_(* \(#,##0\);_(* &quot;-&quot;??_);_(@_)"/>
    <numFmt numFmtId="168" formatCode="_ * #,##0.0_ ;_ * \-#,##0.0_ ;_ * &quot;-&quot;?_ ;_ @_ 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onsolas"/>
      <family val="3"/>
    </font>
    <font>
      <sz val="11"/>
      <color theme="0"/>
      <name val="Consolas"/>
      <family val="3"/>
    </font>
    <font>
      <sz val="20"/>
      <color rgb="FF000000"/>
      <name val="Consolas"/>
      <family val="3"/>
    </font>
    <font>
      <sz val="11"/>
      <color rgb="FF000000"/>
      <name val="Calibri"/>
      <family val="2"/>
    </font>
    <font>
      <b/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3" fillId="0" borderId="0"/>
    <xf numFmtId="164" fontId="3" fillId="0" borderId="0" applyFont="0" applyFill="0" applyBorder="0" applyAlignment="0" applyProtection="0"/>
  </cellStyleXfs>
  <cellXfs count="19">
    <xf numFmtId="0" fontId="0" fillId="0" borderId="0" xfId="0"/>
    <xf numFmtId="0" fontId="2" fillId="2" borderId="0" xfId="0" applyFont="1" applyFill="1"/>
    <xf numFmtId="165" fontId="0" fillId="0" borderId="0" xfId="1" applyNumberFormat="1" applyFont="1"/>
    <xf numFmtId="0" fontId="5" fillId="0" borderId="0" xfId="0" applyFont="1"/>
    <xf numFmtId="0" fontId="4" fillId="2" borderId="0" xfId="0" applyFont="1" applyFill="1"/>
    <xf numFmtId="0" fontId="6" fillId="2" borderId="0" xfId="0" applyFont="1" applyFill="1" applyAlignment="1">
      <alignment vertical="center"/>
    </xf>
    <xf numFmtId="0" fontId="7" fillId="3" borderId="1" xfId="0" applyFont="1" applyFill="1" applyBorder="1" applyAlignment="1">
      <alignment vertical="center"/>
    </xf>
    <xf numFmtId="165" fontId="2" fillId="3" borderId="1" xfId="1" applyNumberFormat="1" applyFont="1" applyFill="1" applyBorder="1"/>
    <xf numFmtId="0" fontId="4" fillId="5" borderId="0" xfId="0" applyFont="1" applyFill="1"/>
    <xf numFmtId="0" fontId="0" fillId="4" borderId="1" xfId="0" applyFill="1" applyBorder="1"/>
    <xf numFmtId="166" fontId="0" fillId="4" borderId="1" xfId="0" applyNumberFormat="1" applyFill="1" applyBorder="1"/>
    <xf numFmtId="165" fontId="4" fillId="3" borderId="2" xfId="0" applyNumberFormat="1" applyFont="1" applyFill="1" applyBorder="1"/>
    <xf numFmtId="0" fontId="0" fillId="4" borderId="3" xfId="0" applyFill="1" applyBorder="1"/>
    <xf numFmtId="166" fontId="0" fillId="4" borderId="3" xfId="0" applyNumberFormat="1" applyFill="1" applyBorder="1"/>
    <xf numFmtId="1" fontId="0" fillId="0" borderId="0" xfId="0" applyNumberFormat="1"/>
    <xf numFmtId="165" fontId="10" fillId="6" borderId="1" xfId="0" applyNumberFormat="1" applyFont="1" applyFill="1" applyBorder="1"/>
    <xf numFmtId="167" fontId="3" fillId="0" borderId="0" xfId="1" applyNumberFormat="1"/>
    <xf numFmtId="168" fontId="0" fillId="0" borderId="0" xfId="0" applyNumberFormat="1"/>
    <xf numFmtId="167" fontId="3" fillId="0" borderId="0" xfId="1" applyNumberFormat="1" applyFill="1"/>
  </cellXfs>
  <cellStyles count="3">
    <cellStyle name="Comma" xfId="1" builtinId="3"/>
    <cellStyle name="Comma 2" xfId="2" xr:uid="{B1E78A8E-2467-4F40-9403-3136F22B6F59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10</xdr:row>
          <xdr:rowOff>114300</xdr:rowOff>
        </xdr:from>
        <xdr:to>
          <xdr:col>0</xdr:col>
          <xdr:colOff>590550</xdr:colOff>
          <xdr:row>11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</a:t>
              </a:r>
            </a:p>
            <a:p>
              <a:pPr algn="ctr" rtl="0">
                <a:defRPr sz="1000"/>
              </a:pPr>
              <a:endParaRPr lang="en-CH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714375</xdr:colOff>
          <xdr:row>10</xdr:row>
          <xdr:rowOff>95250</xdr:rowOff>
        </xdr:from>
        <xdr:to>
          <xdr:col>0</xdr:col>
          <xdr:colOff>1209675</xdr:colOff>
          <xdr:row>11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371475</xdr:colOff>
          <xdr:row>0</xdr:row>
          <xdr:rowOff>133350</xdr:rowOff>
        </xdr:from>
        <xdr:to>
          <xdr:col>5</xdr:col>
          <xdr:colOff>571500</xdr:colOff>
          <xdr:row>4</xdr:row>
          <xdr:rowOff>85725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H" sz="2000" b="0" i="0" u="none" strike="noStrike" baseline="0">
                  <a:solidFill>
                    <a:srgbClr val="000000"/>
                  </a:solidFill>
                  <a:latin typeface="Consolas"/>
                </a:rPr>
                <a:t>PLAY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155"/>
  <sheetViews>
    <sheetView tabSelected="1" zoomScale="85" zoomScaleNormal="85" workbookViewId="0">
      <pane xSplit="6" ySplit="14" topLeftCell="G15" activePane="bottomRight" state="frozen"/>
      <selection pane="topRight" activeCell="G1" sqref="G1"/>
      <selection pane="bottomLeft" activeCell="A15" sqref="A15"/>
      <selection pane="bottomRight" activeCell="G6" sqref="G6"/>
    </sheetView>
  </sheetViews>
  <sheetFormatPr defaultRowHeight="15" x14ac:dyDescent="0.25"/>
  <cols>
    <col min="1" max="1" width="16.42578125" customWidth="1"/>
    <col min="2" max="2" width="11.42578125" customWidth="1"/>
    <col min="3" max="3" width="9.5703125" customWidth="1"/>
    <col min="4" max="5" width="14" customWidth="1"/>
    <col min="6" max="6" width="14" style="3" customWidth="1"/>
    <col min="7" max="7" width="31.7109375" style="3" customWidth="1"/>
    <col min="8" max="8" width="17.28515625" style="3" customWidth="1"/>
    <col min="9" max="14" width="17.28515625" customWidth="1"/>
    <col min="15" max="15" width="34.7109375" customWidth="1"/>
  </cols>
  <sheetData>
    <row r="1" spans="1:14" x14ac:dyDescent="0.25">
      <c r="A1" s="8" t="s">
        <v>0</v>
      </c>
      <c r="B1" t="s">
        <v>38</v>
      </c>
    </row>
    <row r="2" spans="1:14" x14ac:dyDescent="0.25">
      <c r="A2" s="8" t="s">
        <v>2</v>
      </c>
      <c r="B2" t="s">
        <v>714</v>
      </c>
    </row>
    <row r="3" spans="1:14" x14ac:dyDescent="0.25">
      <c r="A3" s="8" t="s">
        <v>4</v>
      </c>
      <c r="B3" t="s">
        <v>713</v>
      </c>
    </row>
    <row r="4" spans="1:14" x14ac:dyDescent="0.25">
      <c r="A4" s="8" t="s">
        <v>5</v>
      </c>
      <c r="B4" t="s">
        <v>584</v>
      </c>
    </row>
    <row r="5" spans="1:14" x14ac:dyDescent="0.25">
      <c r="A5" s="8" t="s">
        <v>7</v>
      </c>
      <c r="B5" t="s">
        <v>584</v>
      </c>
    </row>
    <row r="6" spans="1:14" x14ac:dyDescent="0.25">
      <c r="A6" s="8" t="s">
        <v>8</v>
      </c>
      <c r="B6" t="s">
        <v>712</v>
      </c>
    </row>
    <row r="7" spans="1:14" x14ac:dyDescent="0.25">
      <c r="A7" s="8" t="s">
        <v>9</v>
      </c>
      <c r="B7" t="s">
        <v>708</v>
      </c>
    </row>
    <row r="8" spans="1:14" x14ac:dyDescent="0.25">
      <c r="A8" s="8" t="s">
        <v>10</v>
      </c>
      <c r="B8" t="s">
        <v>709</v>
      </c>
    </row>
    <row r="9" spans="1:14" x14ac:dyDescent="0.25">
      <c r="A9" s="8" t="s">
        <v>11</v>
      </c>
      <c r="B9" t="s">
        <v>710</v>
      </c>
    </row>
    <row r="10" spans="1:14" x14ac:dyDescent="0.25">
      <c r="A10" s="8" t="s">
        <v>12</v>
      </c>
      <c r="B10" t="s">
        <v>711</v>
      </c>
    </row>
    <row r="14" spans="1:14" x14ac:dyDescent="0.25">
      <c r="A14" s="5" t="s">
        <v>13</v>
      </c>
      <c r="B14" s="4" t="s">
        <v>14</v>
      </c>
      <c r="C14" s="4" t="s">
        <v>15</v>
      </c>
      <c r="D14" s="4" t="s">
        <v>16</v>
      </c>
      <c r="E14" s="4" t="s">
        <v>17</v>
      </c>
      <c r="F14" s="4" t="s">
        <v>18</v>
      </c>
      <c r="G14" s="4" t="s">
        <v>656</v>
      </c>
      <c r="H14" s="4" t="s">
        <v>19</v>
      </c>
      <c r="I14" s="4" t="s">
        <v>20</v>
      </c>
      <c r="J14" s="4" t="s">
        <v>21</v>
      </c>
      <c r="K14" s="4" t="s">
        <v>22</v>
      </c>
      <c r="L14" s="4" t="s">
        <v>23</v>
      </c>
      <c r="M14" s="4" t="s">
        <v>24</v>
      </c>
      <c r="N14" s="4" t="s">
        <v>25</v>
      </c>
    </row>
    <row r="15" spans="1:14" x14ac:dyDescent="0.25">
      <c r="A15" s="6">
        <v>1</v>
      </c>
      <c r="B15" s="7">
        <f>IF(
OR($B$1="easy|standard",$B$1="easy|primary_monkeys",$B$1="medium|standard",$B$1="medium|military_only",$B$1="medium|apopalypse",$B$1="medium|reverse"),IF($B$5="yes",INDEX(income!$A$1:$O$142,A15+1,MATCH($B$1,income!$A$1:$O$1,FALSE))+200,INDEX(income!$A$1:$O$142,A15+1,MATCH($B$1,income!$A$1:$O$1,FALSE)))*IF($B$4="yes",2,1),0)</f>
        <v>0</v>
      </c>
      <c r="C15" s="7">
        <f>-playground_helper!N2</f>
        <v>0</v>
      </c>
      <c r="D15" s="7">
        <f>B15</f>
        <v>0</v>
      </c>
      <c r="E15" s="7">
        <f>C15</f>
        <v>0</v>
      </c>
      <c r="F15" s="11">
        <f t="shared" ref="F15:F46" si="0">SUM(D15:E15)</f>
        <v>0</v>
      </c>
      <c r="G15" s="15" t="s">
        <v>715</v>
      </c>
      <c r="H15" s="12"/>
      <c r="I15" s="12"/>
      <c r="J15" s="9"/>
      <c r="K15" s="9"/>
      <c r="L15" s="9"/>
      <c r="M15" s="9"/>
      <c r="N15" s="9"/>
    </row>
    <row r="16" spans="1:14" x14ac:dyDescent="0.25">
      <c r="A16" s="6">
        <v>2</v>
      </c>
      <c r="B16" s="7">
        <f>INDEX(income!$A$1:$O$142,A16+1,MATCH($B$1,income!$A$1:$O$1,FALSE))*IF($B$4="yes",2,1)</f>
        <v>0</v>
      </c>
      <c r="C16" s="7">
        <f>-playground_helper!N3</f>
        <v>0</v>
      </c>
      <c r="D16" s="7">
        <f t="shared" ref="D16:D47" si="1">D15+B16</f>
        <v>0</v>
      </c>
      <c r="E16" s="7">
        <f t="shared" ref="E16:E47" si="2">E15+C16</f>
        <v>0</v>
      </c>
      <c r="F16" s="11">
        <f t="shared" si="0"/>
        <v>0</v>
      </c>
      <c r="G16" s="15" t="s">
        <v>716</v>
      </c>
      <c r="H16" s="12"/>
      <c r="I16" s="12"/>
      <c r="J16" s="9"/>
      <c r="K16" s="9"/>
      <c r="L16" s="9"/>
      <c r="M16" s="9"/>
      <c r="N16" s="9"/>
    </row>
    <row r="17" spans="1:14" x14ac:dyDescent="0.25">
      <c r="A17" s="6">
        <v>3</v>
      </c>
      <c r="B17" s="7">
        <f>IFERROR(IF(B1="hard|half_cash",IF($B$5="yes",INDEX(income!$A$1:$O$142,A17+1,MATCH($B$1,income!$A$1:$O$1,FALSE))+100,INDEX(income!$A$1:$O$142,A17+1,MATCH($B$1,income!$A$1:$O$1,FALSE)))*IF($B$4="yes",2,1),IF(LEFT($B$1,FIND("|",$B$1)-1)="hard",IF($B$5="yes",INDEX(income!$A$1:$O$142,A17+1,MATCH($B$1,income!$A$1:$O$1,FALSE))+200,INDEX(income!$A$1:$O$142,A17+1,MATCH($B$1,income!$A$1:$O$1,FALSE)))*IF($B$4="yes",2,1),INDEX(income!$A$1:$O$142,A17+1,MATCH($B$1,income!$A$1:$O$1,FALSE))*IF($B$4="yes",2,1))),0)</f>
        <v>0</v>
      </c>
      <c r="C17" s="7">
        <f>-playground_helper!N4</f>
        <v>0</v>
      </c>
      <c r="D17" s="7">
        <f t="shared" si="1"/>
        <v>0</v>
      </c>
      <c r="E17" s="7">
        <f t="shared" si="2"/>
        <v>0</v>
      </c>
      <c r="F17" s="11">
        <f t="shared" si="0"/>
        <v>0</v>
      </c>
      <c r="G17" s="15" t="s">
        <v>717</v>
      </c>
      <c r="H17" s="12"/>
      <c r="I17" s="12"/>
      <c r="J17" s="9"/>
      <c r="K17" s="9"/>
      <c r="L17" s="9"/>
      <c r="M17" s="9"/>
      <c r="N17" s="9"/>
    </row>
    <row r="18" spans="1:14" x14ac:dyDescent="0.25">
      <c r="A18" s="6">
        <v>4</v>
      </c>
      <c r="B18" s="7">
        <f>INDEX(income!$A$1:$O$142,A18+1,MATCH($B$1,income!$A$1:$O$1,FALSE))*IF($B$4="yes",2,1)</f>
        <v>0</v>
      </c>
      <c r="C18" s="7">
        <f>-playground_helper!N5</f>
        <v>0</v>
      </c>
      <c r="D18" s="7">
        <f t="shared" si="1"/>
        <v>0</v>
      </c>
      <c r="E18" s="7">
        <f t="shared" si="2"/>
        <v>0</v>
      </c>
      <c r="F18" s="11">
        <f t="shared" si="0"/>
        <v>0</v>
      </c>
      <c r="G18" s="15" t="s">
        <v>720</v>
      </c>
      <c r="H18" s="12"/>
      <c r="I18" s="12"/>
      <c r="J18" s="12"/>
      <c r="K18" s="9"/>
      <c r="L18" s="9"/>
      <c r="M18" s="9"/>
      <c r="N18" s="9"/>
    </row>
    <row r="19" spans="1:14" x14ac:dyDescent="0.25">
      <c r="A19" s="6">
        <v>5</v>
      </c>
      <c r="B19" s="7">
        <f>INDEX(income!$A$1:$O$142,A19+1,MATCH($B$1,income!$A$1:$O$1,FALSE))*IF($B$4="yes",2,1)</f>
        <v>0</v>
      </c>
      <c r="C19" s="7">
        <f>-playground_helper!N6</f>
        <v>0</v>
      </c>
      <c r="D19" s="7">
        <f t="shared" si="1"/>
        <v>0</v>
      </c>
      <c r="E19" s="7">
        <f t="shared" si="2"/>
        <v>0</v>
      </c>
      <c r="F19" s="11">
        <f t="shared" si="0"/>
        <v>0</v>
      </c>
      <c r="G19" s="15" t="s">
        <v>721</v>
      </c>
      <c r="H19" s="12"/>
      <c r="I19" s="12"/>
      <c r="J19" s="12"/>
      <c r="K19" s="9"/>
      <c r="L19" s="9"/>
      <c r="M19" s="9"/>
      <c r="N19" s="9"/>
    </row>
    <row r="20" spans="1:14" x14ac:dyDescent="0.25">
      <c r="A20" s="6">
        <v>6</v>
      </c>
      <c r="B20" s="7">
        <f>IF($B$1="chimps",INDEX(income!$A$1:$O$142,A20+1,MATCH($B$1,income!$A$1:$O$1,FALSE)),IF($B$1="impoppable",IF($B$5="yes",INDEX(income!$A$1:$O$142,A20+1,MATCH($B$1,income!$A$1:$O$1,FALSE))+200,INDEX(income!$A$1:$O$142,A20+1,MATCH($B$1,income!$A$1:$O$1,FALSE)))*IF($B$4="yes",2,1),INDEX(income!$A$1:$O$142,A20+1,MATCH($B$1,income!$A$1:$O$1,FALSE))*IF($B$4="yes",2,1)))</f>
        <v>650</v>
      </c>
      <c r="C20" s="7">
        <f>-playground_helper!N7</f>
        <v>-585</v>
      </c>
      <c r="D20" s="7">
        <f t="shared" si="1"/>
        <v>650</v>
      </c>
      <c r="E20" s="7">
        <f t="shared" si="2"/>
        <v>-585</v>
      </c>
      <c r="F20" s="11">
        <f t="shared" si="0"/>
        <v>65</v>
      </c>
      <c r="G20" s="15" t="s">
        <v>718</v>
      </c>
      <c r="H20" s="12" t="s">
        <v>655</v>
      </c>
      <c r="I20" s="12"/>
      <c r="J20" s="9"/>
      <c r="K20" s="9"/>
      <c r="L20" s="9"/>
      <c r="M20" s="9"/>
      <c r="N20" s="9"/>
    </row>
    <row r="21" spans="1:14" x14ac:dyDescent="0.25">
      <c r="A21" s="6">
        <v>7</v>
      </c>
      <c r="B21" s="7">
        <f>INDEX(income!$A$1:$O$142,A21+1,MATCH($B$1,income!$A$1:$O$1,FALSE))*IF($B$4="yes",2,1)</f>
        <v>163</v>
      </c>
      <c r="C21" s="7">
        <f>-playground_helper!N8</f>
        <v>-215</v>
      </c>
      <c r="D21" s="7">
        <f t="shared" si="1"/>
        <v>813</v>
      </c>
      <c r="E21" s="7">
        <f t="shared" si="2"/>
        <v>-800</v>
      </c>
      <c r="F21" s="11">
        <f t="shared" si="0"/>
        <v>13</v>
      </c>
      <c r="G21" s="15" t="s">
        <v>719</v>
      </c>
      <c r="H21" s="12" t="s">
        <v>661</v>
      </c>
      <c r="I21" s="12"/>
      <c r="J21" s="12"/>
      <c r="K21" s="9"/>
      <c r="L21" s="9"/>
      <c r="M21" s="9"/>
      <c r="N21" s="9"/>
    </row>
    <row r="22" spans="1:14" x14ac:dyDescent="0.25">
      <c r="A22" s="6">
        <v>8</v>
      </c>
      <c r="B22" s="7">
        <f>INDEX(income!$A$1:$O$142,A22+1,MATCH($B$1,income!$A$1:$O$1,FALSE))*IF($B$4="yes",2,1)</f>
        <v>182</v>
      </c>
      <c r="C22" s="7">
        <f>-playground_helper!N9</f>
        <v>-110</v>
      </c>
      <c r="D22" s="7">
        <f t="shared" si="1"/>
        <v>995</v>
      </c>
      <c r="E22" s="7">
        <f t="shared" si="2"/>
        <v>-910</v>
      </c>
      <c r="F22" s="11">
        <f t="shared" si="0"/>
        <v>85</v>
      </c>
      <c r="G22" s="15"/>
      <c r="H22" s="12" t="s">
        <v>676</v>
      </c>
      <c r="I22" s="12"/>
      <c r="J22" s="12"/>
      <c r="K22" s="9"/>
      <c r="L22" s="9"/>
      <c r="M22" s="9"/>
      <c r="N22" s="9"/>
    </row>
    <row r="23" spans="1:14" x14ac:dyDescent="0.25">
      <c r="A23" s="6">
        <v>9</v>
      </c>
      <c r="B23" s="7">
        <f>INDEX(income!$A$1:$O$142,A23+1,MATCH($B$1,income!$A$1:$O$1,FALSE))*IF($B$4="yes",2,1)</f>
        <v>200</v>
      </c>
      <c r="C23" s="7">
        <f>-playground_helper!N10</f>
        <v>-205</v>
      </c>
      <c r="D23" s="7">
        <f t="shared" si="1"/>
        <v>1195</v>
      </c>
      <c r="E23" s="7">
        <f t="shared" si="2"/>
        <v>-1115</v>
      </c>
      <c r="F23" s="11">
        <f t="shared" si="0"/>
        <v>80</v>
      </c>
      <c r="G23" s="15"/>
      <c r="H23" s="12" t="s">
        <v>677</v>
      </c>
      <c r="I23" s="12"/>
      <c r="J23" s="9"/>
      <c r="K23" s="9"/>
      <c r="L23" s="9"/>
      <c r="M23" s="9"/>
      <c r="N23" s="9"/>
    </row>
    <row r="24" spans="1:14" x14ac:dyDescent="0.25">
      <c r="A24" s="6">
        <v>10</v>
      </c>
      <c r="B24" s="7">
        <f>INDEX(income!$A$1:$O$142,A24+1,MATCH($B$1,income!$A$1:$O$1,FALSE))*IF($B$4="yes",2,1)</f>
        <v>199</v>
      </c>
      <c r="C24" s="7">
        <f>-playground_helper!N11</f>
        <v>-95</v>
      </c>
      <c r="D24" s="7">
        <f t="shared" si="1"/>
        <v>1394</v>
      </c>
      <c r="E24" s="7">
        <f t="shared" si="2"/>
        <v>-1210</v>
      </c>
      <c r="F24" s="11">
        <f t="shared" si="0"/>
        <v>184</v>
      </c>
      <c r="G24" s="15"/>
      <c r="H24" s="12" t="s">
        <v>666</v>
      </c>
      <c r="I24" s="12"/>
      <c r="J24" s="12"/>
      <c r="K24" s="9"/>
      <c r="L24" s="9"/>
      <c r="M24" s="9"/>
      <c r="N24" s="9"/>
    </row>
    <row r="25" spans="1:14" x14ac:dyDescent="0.25">
      <c r="A25" s="6">
        <v>11</v>
      </c>
      <c r="B25" s="7">
        <f>INDEX(income!$A$1:$O$142,A25+1,MATCH($B$1,income!$A$1:$O$1,FALSE))*IF($B$4="yes",2,1)</f>
        <v>314</v>
      </c>
      <c r="C25" s="7">
        <f>-playground_helper!N12</f>
        <v>-215</v>
      </c>
      <c r="D25" s="7">
        <f t="shared" si="1"/>
        <v>1708</v>
      </c>
      <c r="E25" s="7">
        <f t="shared" si="2"/>
        <v>-1425</v>
      </c>
      <c r="F25" s="11">
        <f t="shared" si="0"/>
        <v>283</v>
      </c>
      <c r="G25" s="15"/>
      <c r="H25" s="12" t="s">
        <v>674</v>
      </c>
      <c r="I25" s="12"/>
      <c r="J25" s="9"/>
      <c r="K25" s="9"/>
      <c r="L25" s="9"/>
      <c r="M25" s="9"/>
      <c r="N25" s="9"/>
    </row>
    <row r="26" spans="1:14" x14ac:dyDescent="0.25">
      <c r="A26" s="6">
        <v>12</v>
      </c>
      <c r="B26" s="7">
        <f>INDEX(income!$A$1:$O$142,A26+1,MATCH($B$1,income!$A$1:$O$1,FALSE))*IF($B$4="yes",2,1)</f>
        <v>189</v>
      </c>
      <c r="C26" s="7">
        <f>-playground_helper!N13</f>
        <v>0</v>
      </c>
      <c r="D26" s="7">
        <f t="shared" si="1"/>
        <v>1897</v>
      </c>
      <c r="E26" s="7">
        <f t="shared" si="2"/>
        <v>-1425</v>
      </c>
      <c r="F26" s="11">
        <f t="shared" si="0"/>
        <v>472</v>
      </c>
      <c r="G26" s="15"/>
      <c r="H26" s="12"/>
      <c r="I26" s="9"/>
      <c r="J26" s="9"/>
      <c r="K26" s="9"/>
      <c r="L26" s="9"/>
      <c r="M26" s="9"/>
      <c r="N26" s="9"/>
    </row>
    <row r="27" spans="1:14" x14ac:dyDescent="0.25">
      <c r="A27" s="6">
        <v>13</v>
      </c>
      <c r="B27" s="7">
        <f>INDEX(income!$A$1:$O$142,A27+1,MATCH($B$1,income!$A$1:$O$1,FALSE))*IF($B$4="yes",2,1)</f>
        <v>192</v>
      </c>
      <c r="C27" s="7">
        <f>-playground_helper!N14</f>
        <v>0</v>
      </c>
      <c r="D27" s="7">
        <f t="shared" si="1"/>
        <v>2089</v>
      </c>
      <c r="E27" s="7">
        <f t="shared" si="2"/>
        <v>-1425</v>
      </c>
      <c r="F27" s="11">
        <f t="shared" si="0"/>
        <v>664</v>
      </c>
      <c r="G27" s="15"/>
      <c r="H27" s="12"/>
      <c r="I27" s="9"/>
      <c r="J27" s="9"/>
      <c r="K27" s="9"/>
      <c r="L27" s="9"/>
      <c r="M27" s="9"/>
      <c r="N27" s="9"/>
    </row>
    <row r="28" spans="1:14" x14ac:dyDescent="0.25">
      <c r="A28" s="6">
        <v>14</v>
      </c>
      <c r="B28" s="7">
        <f>INDEX(income!$A$1:$O$142,A28+1,MATCH($B$1,income!$A$1:$O$1,FALSE))*IF($B$4="yes",2,1)</f>
        <v>282</v>
      </c>
      <c r="C28" s="7">
        <f>-playground_helper!N15</f>
        <v>-675</v>
      </c>
      <c r="D28" s="7">
        <f t="shared" si="1"/>
        <v>2371</v>
      </c>
      <c r="E28" s="7">
        <f t="shared" si="2"/>
        <v>-2100</v>
      </c>
      <c r="F28" s="11">
        <f t="shared" si="0"/>
        <v>271</v>
      </c>
      <c r="G28" s="15"/>
      <c r="H28" s="12" t="s">
        <v>675</v>
      </c>
      <c r="I28" s="9"/>
      <c r="J28" s="9"/>
      <c r="K28" s="9"/>
      <c r="L28" s="9"/>
      <c r="M28" s="9"/>
      <c r="N28" s="9"/>
    </row>
    <row r="29" spans="1:14" x14ac:dyDescent="0.25">
      <c r="A29" s="6">
        <v>15</v>
      </c>
      <c r="B29" s="7">
        <f>INDEX(income!$A$1:$O$142,A29+1,MATCH($B$1,income!$A$1:$O$1,FALSE))*IF($B$4="yes",2,1)</f>
        <v>259</v>
      </c>
      <c r="C29" s="7">
        <f>-playground_helper!N16</f>
        <v>-430</v>
      </c>
      <c r="D29" s="7">
        <f t="shared" si="1"/>
        <v>2630</v>
      </c>
      <c r="E29" s="7">
        <f t="shared" si="2"/>
        <v>-2530</v>
      </c>
      <c r="F29" s="11">
        <f t="shared" si="0"/>
        <v>100</v>
      </c>
      <c r="G29" s="15"/>
      <c r="H29" s="9" t="s">
        <v>672</v>
      </c>
      <c r="I29" s="9"/>
      <c r="J29" s="9"/>
      <c r="K29" s="9"/>
      <c r="L29" s="9"/>
      <c r="M29" s="9"/>
      <c r="N29" s="9"/>
    </row>
    <row r="30" spans="1:14" x14ac:dyDescent="0.25">
      <c r="A30" s="6">
        <v>16</v>
      </c>
      <c r="B30" s="7">
        <f>INDEX(income!$A$1:$O$142,A30+1,MATCH($B$1,income!$A$1:$O$1,FALSE))*IF($B$4="yes",2,1)</f>
        <v>266</v>
      </c>
      <c r="C30" s="7">
        <f>-playground_helper!N17</f>
        <v>0</v>
      </c>
      <c r="D30" s="7">
        <f t="shared" si="1"/>
        <v>2896</v>
      </c>
      <c r="E30" s="7">
        <f t="shared" si="2"/>
        <v>-2530</v>
      </c>
      <c r="F30" s="11">
        <f t="shared" si="0"/>
        <v>366</v>
      </c>
      <c r="G30" s="15"/>
      <c r="H30" s="9"/>
      <c r="I30" s="9"/>
      <c r="J30" s="9"/>
      <c r="K30" s="9"/>
      <c r="L30" s="9"/>
      <c r="M30" s="9"/>
      <c r="N30" s="9"/>
    </row>
    <row r="31" spans="1:14" x14ac:dyDescent="0.25">
      <c r="A31" s="6">
        <v>17</v>
      </c>
      <c r="B31" s="7">
        <f>INDEX(income!$A$1:$O$142,A31+1,MATCH($B$1,income!$A$1:$O$1,FALSE))*IF($B$4="yes",2,1)</f>
        <v>268</v>
      </c>
      <c r="C31" s="7">
        <f>-playground_helper!N18</f>
        <v>-380</v>
      </c>
      <c r="D31" s="7">
        <f t="shared" si="1"/>
        <v>3164</v>
      </c>
      <c r="E31" s="7">
        <f t="shared" si="2"/>
        <v>-2910</v>
      </c>
      <c r="F31" s="11">
        <f t="shared" si="0"/>
        <v>254</v>
      </c>
      <c r="G31" s="15"/>
      <c r="H31" s="9" t="s">
        <v>678</v>
      </c>
      <c r="I31" s="9"/>
      <c r="J31" s="9"/>
      <c r="K31" s="9"/>
      <c r="L31" s="9"/>
      <c r="M31" s="9"/>
      <c r="N31" s="9"/>
    </row>
    <row r="32" spans="1:14" x14ac:dyDescent="0.25">
      <c r="A32" s="6">
        <v>18</v>
      </c>
      <c r="B32" s="7">
        <f>INDEX(income!$A$1:$O$142,A32+1,MATCH($B$1,income!$A$1:$O$1,FALSE))*IF($B$4="yes",2,1)</f>
        <v>165</v>
      </c>
      <c r="C32" s="7">
        <f>-playground_helper!N19</f>
        <v>-270</v>
      </c>
      <c r="D32" s="7">
        <f t="shared" si="1"/>
        <v>3329</v>
      </c>
      <c r="E32" s="7">
        <f t="shared" si="2"/>
        <v>-3180</v>
      </c>
      <c r="F32" s="11">
        <f t="shared" si="0"/>
        <v>149</v>
      </c>
      <c r="G32" s="15"/>
      <c r="H32" s="9" t="s">
        <v>679</v>
      </c>
      <c r="I32" s="9"/>
      <c r="J32" s="9"/>
      <c r="K32" s="9"/>
      <c r="L32" s="9"/>
      <c r="M32" s="9"/>
      <c r="N32" s="9"/>
    </row>
    <row r="33" spans="1:14" x14ac:dyDescent="0.25">
      <c r="A33" s="6">
        <v>19</v>
      </c>
      <c r="B33" s="7">
        <f>INDEX(income!$A$1:$O$142,A33+1,MATCH($B$1,income!$A$1:$O$1,FALSE))*IF($B$4="yes",2,1)</f>
        <v>358</v>
      </c>
      <c r="C33" s="7">
        <f>-playground_helper!N20</f>
        <v>-380</v>
      </c>
      <c r="D33" s="7">
        <f t="shared" si="1"/>
        <v>3687</v>
      </c>
      <c r="E33" s="7">
        <f t="shared" si="2"/>
        <v>-3560</v>
      </c>
      <c r="F33" s="11">
        <f t="shared" si="0"/>
        <v>127</v>
      </c>
      <c r="G33" s="15"/>
      <c r="H33" s="9" t="s">
        <v>680</v>
      </c>
      <c r="I33" s="9"/>
      <c r="J33" s="9"/>
      <c r="K33" s="9"/>
      <c r="L33" s="9"/>
      <c r="M33" s="9"/>
      <c r="N33" s="9"/>
    </row>
    <row r="34" spans="1:14" x14ac:dyDescent="0.25">
      <c r="A34" s="6">
        <v>20</v>
      </c>
      <c r="B34" s="7">
        <f>IF($B$1="easy|deflation",IF($B$5="yes",INDEX(income!$A$1:$O$142,A34+1,MATCH($B$1,income!$A$1:$O$1,FALSE))+200,INDEX(income!$A$1:$O$142,A34+1,MATCH($B$1,income!$A$1:$O$1,FALSE)))*IF($B$4="yes",2,1),IF($B$1="chimps",INDEX(income!$A$1:$O$142,A34+1,MATCH($B$1,income!$A$1:$O$1,FALSE)),INDEX(income!$A$1:$O$142,A34+1,MATCH($B$1,income!$A$1:$O$1,FALSE))*IF($B$4="yes",2,1)))</f>
        <v>260</v>
      </c>
      <c r="C34" s="7">
        <f>-playground_helper!N21</f>
        <v>0</v>
      </c>
      <c r="D34" s="7">
        <f t="shared" si="1"/>
        <v>3947</v>
      </c>
      <c r="E34" s="7">
        <f t="shared" si="2"/>
        <v>-3560</v>
      </c>
      <c r="F34" s="11">
        <f t="shared" si="0"/>
        <v>387</v>
      </c>
      <c r="G34" s="15"/>
      <c r="H34" s="9"/>
      <c r="I34" s="9"/>
      <c r="J34" s="9"/>
      <c r="K34" s="9"/>
      <c r="L34" s="9"/>
      <c r="M34" s="9"/>
      <c r="N34" s="9"/>
    </row>
    <row r="35" spans="1:14" x14ac:dyDescent="0.25">
      <c r="A35" s="6">
        <v>21</v>
      </c>
      <c r="B35" s="7">
        <f>INDEX(income!$A$1:$O$142,A35+1,MATCH($B$1,income!$A$1:$O$1,FALSE))*IF($B$4="yes",2,1)</f>
        <v>186</v>
      </c>
      <c r="C35" s="7">
        <f>-playground_helper!N22</f>
        <v>0</v>
      </c>
      <c r="D35" s="7">
        <f t="shared" si="1"/>
        <v>4133</v>
      </c>
      <c r="E35" s="7">
        <f t="shared" si="2"/>
        <v>-3560</v>
      </c>
      <c r="F35" s="11">
        <f t="shared" si="0"/>
        <v>573</v>
      </c>
      <c r="G35" s="15"/>
      <c r="H35" s="9"/>
      <c r="I35" s="9"/>
      <c r="J35" s="9"/>
      <c r="K35" s="9"/>
      <c r="L35" s="9"/>
      <c r="M35" s="9"/>
      <c r="N35" s="9"/>
    </row>
    <row r="36" spans="1:14" x14ac:dyDescent="0.25">
      <c r="A36" s="6">
        <v>22</v>
      </c>
      <c r="B36" s="7">
        <f>INDEX(income!$A$1:$O$142,A36+1,MATCH($B$1,income!$A$1:$O$1,FALSE))*IF($B$4="yes",2,1)</f>
        <v>351</v>
      </c>
      <c r="C36" s="7">
        <f>-playground_helper!N23</f>
        <v>0</v>
      </c>
      <c r="D36" s="7">
        <f t="shared" si="1"/>
        <v>4484</v>
      </c>
      <c r="E36" s="7">
        <f t="shared" si="2"/>
        <v>-3560</v>
      </c>
      <c r="F36" s="11">
        <f t="shared" si="0"/>
        <v>924</v>
      </c>
      <c r="G36" s="15"/>
      <c r="H36" s="9"/>
      <c r="I36" s="9"/>
      <c r="J36" s="9"/>
      <c r="K36" s="9"/>
      <c r="L36" s="9"/>
      <c r="M36" s="9"/>
      <c r="N36" s="9"/>
    </row>
    <row r="37" spans="1:14" x14ac:dyDescent="0.25">
      <c r="A37" s="6">
        <v>23</v>
      </c>
      <c r="B37" s="7">
        <f>INDEX(income!$A$1:$O$142,A37+1,MATCH($B$1,income!$A$1:$O$1,FALSE))*IF($B$4="yes",2,1)</f>
        <v>298</v>
      </c>
      <c r="C37" s="7">
        <f>-playground_helper!N24</f>
        <v>-1135</v>
      </c>
      <c r="D37" s="7">
        <f t="shared" si="1"/>
        <v>4782</v>
      </c>
      <c r="E37" s="7">
        <f t="shared" si="2"/>
        <v>-4695</v>
      </c>
      <c r="F37" s="11">
        <f t="shared" si="0"/>
        <v>87</v>
      </c>
      <c r="G37" s="15"/>
      <c r="H37" s="9" t="s">
        <v>681</v>
      </c>
      <c r="I37" s="9"/>
      <c r="J37" s="9"/>
      <c r="K37" s="9"/>
      <c r="L37" s="9"/>
      <c r="M37" s="9"/>
      <c r="N37" s="9"/>
    </row>
    <row r="38" spans="1:14" x14ac:dyDescent="0.25">
      <c r="A38" s="6">
        <v>24</v>
      </c>
      <c r="B38" s="7">
        <f>INDEX(income!$A$1:$O$142,A38+1,MATCH($B$1,income!$A$1:$O$1,FALSE))*IF($B$4="yes",2,1)</f>
        <v>277</v>
      </c>
      <c r="C38" s="7">
        <f>-playground_helper!N25</f>
        <v>0</v>
      </c>
      <c r="D38" s="7">
        <f t="shared" si="1"/>
        <v>5059</v>
      </c>
      <c r="E38" s="7">
        <f t="shared" si="2"/>
        <v>-4695</v>
      </c>
      <c r="F38" s="11">
        <f t="shared" si="0"/>
        <v>364</v>
      </c>
      <c r="G38" s="15"/>
      <c r="H38" s="9"/>
      <c r="I38" s="9"/>
      <c r="J38" s="9"/>
      <c r="K38" s="9"/>
      <c r="L38" s="9"/>
      <c r="M38" s="9"/>
      <c r="N38" s="9"/>
    </row>
    <row r="39" spans="1:14" x14ac:dyDescent="0.25">
      <c r="A39" s="6">
        <v>25</v>
      </c>
      <c r="B39" s="7">
        <f>INDEX(income!$A$1:$O$142,A39+1,MATCH($B$1,income!$A$1:$O$1,FALSE))*IF($B$4="yes",2,1)</f>
        <v>167</v>
      </c>
      <c r="C39" s="7">
        <f>-playground_helper!N26</f>
        <v>0</v>
      </c>
      <c r="D39" s="7">
        <f t="shared" si="1"/>
        <v>5226</v>
      </c>
      <c r="E39" s="7">
        <f t="shared" si="2"/>
        <v>-4695</v>
      </c>
      <c r="F39" s="11">
        <f t="shared" si="0"/>
        <v>531</v>
      </c>
      <c r="G39" s="15"/>
      <c r="H39" s="9"/>
      <c r="I39" s="9"/>
      <c r="J39" s="9"/>
      <c r="K39" s="9"/>
      <c r="L39" s="9"/>
      <c r="M39" s="9"/>
      <c r="N39" s="9"/>
    </row>
    <row r="40" spans="1:14" x14ac:dyDescent="0.25">
      <c r="A40" s="6">
        <v>26</v>
      </c>
      <c r="B40" s="7">
        <f>INDEX(income!$A$1:$O$142,A40+1,MATCH($B$1,income!$A$1:$O$1,FALSE))*IF($B$4="yes",2,1)</f>
        <v>335</v>
      </c>
      <c r="C40" s="7">
        <f>-playground_helper!N27</f>
        <v>0</v>
      </c>
      <c r="D40" s="7">
        <f t="shared" si="1"/>
        <v>5561</v>
      </c>
      <c r="E40" s="7">
        <f t="shared" si="2"/>
        <v>-4695</v>
      </c>
      <c r="F40" s="11">
        <f t="shared" si="0"/>
        <v>866</v>
      </c>
      <c r="G40" s="15"/>
      <c r="H40" s="9"/>
      <c r="I40" s="9"/>
      <c r="J40" s="9"/>
      <c r="K40" s="9"/>
      <c r="L40" s="9"/>
      <c r="M40" s="9"/>
      <c r="N40" s="9"/>
    </row>
    <row r="41" spans="1:14" x14ac:dyDescent="0.25">
      <c r="A41" s="6">
        <v>27</v>
      </c>
      <c r="B41" s="7">
        <f>INDEX(income!$A$1:$O$142,A41+1,MATCH($B$1,income!$A$1:$O$1,FALSE))*IF($B$4="yes",2,1)</f>
        <v>333</v>
      </c>
      <c r="C41" s="7">
        <f>-playground_helper!N28</f>
        <v>0</v>
      </c>
      <c r="D41" s="7">
        <f t="shared" si="1"/>
        <v>5894</v>
      </c>
      <c r="E41" s="7">
        <f t="shared" si="2"/>
        <v>-4695</v>
      </c>
      <c r="F41" s="11">
        <f t="shared" si="0"/>
        <v>1199</v>
      </c>
      <c r="G41" s="15"/>
      <c r="H41" s="12"/>
      <c r="I41" s="9"/>
      <c r="J41" s="9"/>
      <c r="K41" s="9"/>
      <c r="L41" s="9"/>
      <c r="M41" s="9"/>
      <c r="N41" s="9"/>
    </row>
    <row r="42" spans="1:14" x14ac:dyDescent="0.25">
      <c r="A42" s="6">
        <v>28</v>
      </c>
      <c r="B42" s="7">
        <f>INDEX(income!$A$1:$O$142,A42+1,MATCH($B$1,income!$A$1:$O$1,FALSE))*IF($B$4="yes",2,1)</f>
        <v>662</v>
      </c>
      <c r="C42" s="7">
        <f>-playground_helper!N29</f>
        <v>0</v>
      </c>
      <c r="D42" s="7">
        <f t="shared" si="1"/>
        <v>6556</v>
      </c>
      <c r="E42" s="7">
        <f t="shared" si="2"/>
        <v>-4695</v>
      </c>
      <c r="F42" s="11">
        <f t="shared" si="0"/>
        <v>1861</v>
      </c>
      <c r="G42" s="15"/>
      <c r="H42" s="9"/>
      <c r="I42" s="9"/>
      <c r="J42" s="9"/>
      <c r="K42" s="9"/>
      <c r="L42" s="9"/>
      <c r="M42" s="9"/>
      <c r="N42" s="9"/>
    </row>
    <row r="43" spans="1:14" x14ac:dyDescent="0.25">
      <c r="A43" s="6">
        <v>29</v>
      </c>
      <c r="B43" s="7">
        <f>INDEX(income!$A$1:$O$142,A43+1,MATCH($B$1,income!$A$1:$O$1,FALSE))*IF($B$4="yes",2,1)</f>
        <v>266</v>
      </c>
      <c r="C43" s="7">
        <f>-playground_helper!N30</f>
        <v>0</v>
      </c>
      <c r="D43" s="7">
        <f t="shared" si="1"/>
        <v>6822</v>
      </c>
      <c r="E43" s="7">
        <f t="shared" si="2"/>
        <v>-4695</v>
      </c>
      <c r="F43" s="11">
        <f t="shared" si="0"/>
        <v>2127</v>
      </c>
      <c r="G43" s="15"/>
      <c r="H43" s="9"/>
      <c r="I43" s="9"/>
      <c r="J43" s="9"/>
      <c r="K43" s="9"/>
      <c r="L43" s="9"/>
      <c r="M43" s="9"/>
      <c r="N43" s="9"/>
    </row>
    <row r="44" spans="1:14" x14ac:dyDescent="0.25">
      <c r="A44" s="6">
        <v>30</v>
      </c>
      <c r="B44" s="7">
        <f>INDEX(income!$A$1:$O$142,A44+1,MATCH($B$1,income!$A$1:$O$1,FALSE))*IF($B$4="yes",2,1)</f>
        <v>389</v>
      </c>
      <c r="C44" s="7">
        <f>-playground_helper!N31</f>
        <v>0</v>
      </c>
      <c r="D44" s="7">
        <f t="shared" si="1"/>
        <v>7211</v>
      </c>
      <c r="E44" s="7">
        <f t="shared" si="2"/>
        <v>-4695</v>
      </c>
      <c r="F44" s="11">
        <f t="shared" si="0"/>
        <v>2516</v>
      </c>
      <c r="G44" s="15"/>
      <c r="H44" s="9"/>
      <c r="I44" s="9"/>
      <c r="J44" s="9"/>
      <c r="K44" s="9"/>
      <c r="L44" s="9"/>
      <c r="M44" s="9"/>
      <c r="N44" s="9"/>
    </row>
    <row r="45" spans="1:14" x14ac:dyDescent="0.25">
      <c r="A45" s="6">
        <v>31</v>
      </c>
      <c r="B45" s="7">
        <f>INDEX(income!$A$1:$O$142,A45+1,MATCH($B$1,income!$A$1:$O$1,FALSE))*IF($B$4="yes",2,1)</f>
        <v>337</v>
      </c>
      <c r="C45" s="7">
        <f>-playground_helper!N32</f>
        <v>0</v>
      </c>
      <c r="D45" s="7">
        <f t="shared" si="1"/>
        <v>7548</v>
      </c>
      <c r="E45" s="7">
        <f t="shared" si="2"/>
        <v>-4695</v>
      </c>
      <c r="F45" s="11">
        <f t="shared" si="0"/>
        <v>2853</v>
      </c>
      <c r="G45" s="15"/>
      <c r="H45" s="9"/>
      <c r="I45" s="9"/>
      <c r="J45" s="9"/>
      <c r="K45" s="9"/>
      <c r="L45" s="9"/>
      <c r="M45" s="9"/>
      <c r="N45" s="9"/>
    </row>
    <row r="46" spans="1:14" x14ac:dyDescent="0.25">
      <c r="A46" s="6">
        <v>32</v>
      </c>
      <c r="B46" s="7">
        <f>INDEX(income!$A$1:$O$142,A46+1,MATCH($B$1,income!$A$1:$O$1,FALSE))*IF($B$4="yes",2,1)</f>
        <v>537</v>
      </c>
      <c r="C46" s="7">
        <f>-playground_helper!N33</f>
        <v>0</v>
      </c>
      <c r="D46" s="7">
        <f t="shared" si="1"/>
        <v>8085</v>
      </c>
      <c r="E46" s="7">
        <f t="shared" si="2"/>
        <v>-4695</v>
      </c>
      <c r="F46" s="11">
        <f t="shared" si="0"/>
        <v>3390</v>
      </c>
      <c r="G46" s="15"/>
      <c r="H46" s="9"/>
      <c r="I46" s="9"/>
      <c r="J46" s="9"/>
      <c r="K46" s="9"/>
      <c r="L46" s="9"/>
      <c r="M46" s="9"/>
      <c r="N46" s="9"/>
    </row>
    <row r="47" spans="1:14" x14ac:dyDescent="0.25">
      <c r="A47" s="6">
        <v>33</v>
      </c>
      <c r="B47" s="7">
        <f>INDEX(income!$A$1:$O$142,A47+1,MATCH($B$1,income!$A$1:$O$1,FALSE))*IF($B$4="yes",2,1)</f>
        <v>627</v>
      </c>
      <c r="C47" s="7">
        <f>-playground_helper!N34</f>
        <v>0</v>
      </c>
      <c r="D47" s="7">
        <f t="shared" si="1"/>
        <v>8712</v>
      </c>
      <c r="E47" s="7">
        <f t="shared" si="2"/>
        <v>-4695</v>
      </c>
      <c r="F47" s="11">
        <f t="shared" ref="F47:F78" si="3">SUM(D47:E47)</f>
        <v>4017</v>
      </c>
      <c r="G47" s="15"/>
      <c r="H47" s="9"/>
      <c r="I47" s="9"/>
      <c r="J47" s="9"/>
      <c r="K47" s="9"/>
      <c r="L47" s="9"/>
      <c r="M47" s="9"/>
      <c r="N47" s="9"/>
    </row>
    <row r="48" spans="1:14" x14ac:dyDescent="0.25">
      <c r="A48" s="6">
        <v>34</v>
      </c>
      <c r="B48" s="7">
        <f>INDEX(income!$A$1:$O$142,A48+1,MATCH($B$1,income!$A$1:$O$1,FALSE))*IF($B$4="yes",2,1)</f>
        <v>205</v>
      </c>
      <c r="C48" s="7">
        <f>-playground_helper!N35</f>
        <v>0</v>
      </c>
      <c r="D48" s="7">
        <f t="shared" ref="D48:D79" si="4">D47+B48</f>
        <v>8917</v>
      </c>
      <c r="E48" s="7">
        <f t="shared" ref="E48:E79" si="5">E47+C48</f>
        <v>-4695</v>
      </c>
      <c r="F48" s="11">
        <f t="shared" si="3"/>
        <v>4222</v>
      </c>
      <c r="G48" s="15"/>
      <c r="H48" s="9"/>
      <c r="I48" s="9"/>
      <c r="J48" s="9"/>
      <c r="K48" s="9"/>
      <c r="L48" s="9"/>
      <c r="M48" s="9"/>
      <c r="N48" s="9"/>
    </row>
    <row r="49" spans="1:14" x14ac:dyDescent="0.25">
      <c r="A49" s="6">
        <v>35</v>
      </c>
      <c r="B49" s="7">
        <f>INDEX(income!$A$1:$O$142,A49+1,MATCH($B$1,income!$A$1:$O$1,FALSE))*IF($B$4="yes",2,1)</f>
        <v>912</v>
      </c>
      <c r="C49" s="7">
        <f>-playground_helper!N36</f>
        <v>0</v>
      </c>
      <c r="D49" s="7">
        <f t="shared" si="4"/>
        <v>9829</v>
      </c>
      <c r="E49" s="7">
        <f t="shared" si="5"/>
        <v>-4695</v>
      </c>
      <c r="F49" s="11">
        <f t="shared" si="3"/>
        <v>5134</v>
      </c>
      <c r="G49" s="15"/>
      <c r="H49" s="9"/>
      <c r="I49" s="9"/>
      <c r="J49" s="9"/>
      <c r="K49" s="9"/>
      <c r="L49" s="9"/>
      <c r="M49" s="9"/>
      <c r="N49" s="9"/>
    </row>
    <row r="50" spans="1:14" x14ac:dyDescent="0.25">
      <c r="A50" s="6">
        <v>36</v>
      </c>
      <c r="B50" s="7">
        <f>INDEX(income!$A$1:$O$142,A50+1,MATCH($B$1,income!$A$1:$O$1,FALSE))*IF($B$4="yes",2,1)</f>
        <v>1150</v>
      </c>
      <c r="C50" s="7">
        <f>-playground_helper!N37</f>
        <v>-5290</v>
      </c>
      <c r="D50" s="7">
        <f t="shared" si="4"/>
        <v>10979</v>
      </c>
      <c r="E50" s="7">
        <f t="shared" si="5"/>
        <v>-9985</v>
      </c>
      <c r="F50" s="11">
        <f t="shared" si="3"/>
        <v>994</v>
      </c>
      <c r="G50" s="15"/>
      <c r="H50" s="9" t="s">
        <v>699</v>
      </c>
      <c r="I50" s="9"/>
      <c r="J50" s="9"/>
      <c r="K50" s="9"/>
      <c r="L50" s="9"/>
      <c r="M50" s="9"/>
      <c r="N50" s="9"/>
    </row>
    <row r="51" spans="1:14" x14ac:dyDescent="0.25">
      <c r="A51" s="6">
        <v>37</v>
      </c>
      <c r="B51" s="7">
        <f>INDEX(income!$A$1:$O$142,A51+1,MATCH($B$1,income!$A$1:$O$1,FALSE))*IF($B$4="yes",2,1)</f>
        <v>896</v>
      </c>
      <c r="C51" s="7">
        <f>-playground_helper!N38</f>
        <v>0</v>
      </c>
      <c r="D51" s="7">
        <f t="shared" si="4"/>
        <v>11875</v>
      </c>
      <c r="E51" s="7">
        <f t="shared" si="5"/>
        <v>-9985</v>
      </c>
      <c r="F51" s="11">
        <f t="shared" si="3"/>
        <v>1890</v>
      </c>
      <c r="G51" s="15"/>
      <c r="H51" s="9"/>
      <c r="I51" s="9"/>
      <c r="J51" s="9"/>
      <c r="K51" s="9"/>
      <c r="L51" s="9"/>
      <c r="M51" s="9"/>
      <c r="N51" s="9"/>
    </row>
    <row r="52" spans="1:14" x14ac:dyDescent="0.25">
      <c r="A52" s="6">
        <v>38</v>
      </c>
      <c r="B52" s="7">
        <f>INDEX(income!$A$1:$O$142,A52+1,MATCH($B$1,income!$A$1:$O$1,FALSE))*IF($B$4="yes",2,1)</f>
        <v>1339</v>
      </c>
      <c r="C52" s="7">
        <f>-playground_helper!N39</f>
        <v>-2160</v>
      </c>
      <c r="D52" s="7">
        <f t="shared" si="4"/>
        <v>13214</v>
      </c>
      <c r="E52" s="7">
        <f t="shared" si="5"/>
        <v>-12145</v>
      </c>
      <c r="F52" s="11">
        <f t="shared" si="3"/>
        <v>1069</v>
      </c>
      <c r="G52" s="15"/>
      <c r="H52" s="12" t="s">
        <v>706</v>
      </c>
      <c r="I52" s="9"/>
      <c r="J52" s="9"/>
      <c r="K52" s="9"/>
      <c r="L52" s="9"/>
      <c r="M52" s="9"/>
      <c r="N52" s="9"/>
    </row>
    <row r="53" spans="1:14" x14ac:dyDescent="0.25">
      <c r="A53" s="6">
        <v>39</v>
      </c>
      <c r="B53" s="7">
        <f>INDEX(income!$A$1:$O$142,A53+1,MATCH($B$1,income!$A$1:$O$1,FALSE))*IF($B$4="yes",2,1)</f>
        <v>1277</v>
      </c>
      <c r="C53" s="7">
        <f>-playground_helper!N40</f>
        <v>-1945</v>
      </c>
      <c r="D53" s="7">
        <f t="shared" si="4"/>
        <v>14491</v>
      </c>
      <c r="E53" s="7">
        <f t="shared" si="5"/>
        <v>-14090</v>
      </c>
      <c r="F53" s="11">
        <f t="shared" si="3"/>
        <v>401</v>
      </c>
      <c r="G53" s="15"/>
      <c r="H53" s="9" t="s">
        <v>668</v>
      </c>
      <c r="I53" s="9" t="s">
        <v>686</v>
      </c>
      <c r="J53" s="9"/>
      <c r="K53" s="9"/>
      <c r="L53" s="9"/>
      <c r="M53" s="9"/>
      <c r="N53" s="9"/>
    </row>
    <row r="54" spans="1:14" x14ac:dyDescent="0.25">
      <c r="A54" s="6">
        <v>40</v>
      </c>
      <c r="B54" s="7">
        <f>INDEX(income!$A$1:$O$142,A54+1,MATCH($B$1,income!$A$1:$O$1,FALSE))*IF($B$4="yes",2,1)</f>
        <v>1759</v>
      </c>
      <c r="C54" s="7">
        <f>-playground_helper!N41</f>
        <v>-1300</v>
      </c>
      <c r="D54" s="7">
        <f t="shared" si="4"/>
        <v>16250</v>
      </c>
      <c r="E54" s="7">
        <f t="shared" si="5"/>
        <v>-15390</v>
      </c>
      <c r="F54" s="11">
        <f t="shared" si="3"/>
        <v>860</v>
      </c>
      <c r="G54" s="15"/>
      <c r="H54" s="9" t="s">
        <v>687</v>
      </c>
      <c r="I54" s="9" t="s">
        <v>688</v>
      </c>
      <c r="J54" s="9"/>
      <c r="K54" s="9"/>
      <c r="L54" s="9"/>
      <c r="M54" s="9"/>
      <c r="N54" s="9"/>
    </row>
    <row r="55" spans="1:14" x14ac:dyDescent="0.25">
      <c r="A55" s="6">
        <v>41</v>
      </c>
      <c r="B55" s="7">
        <f>INDEX(income!$A$1:$O$142,A55+1,MATCH($B$1,income!$A$1:$O$1,FALSE))*IF($B$4="yes",2,1)</f>
        <v>521</v>
      </c>
      <c r="C55" s="7">
        <f>-playground_helper!N42</f>
        <v>-865</v>
      </c>
      <c r="D55" s="7">
        <f t="shared" si="4"/>
        <v>16771</v>
      </c>
      <c r="E55" s="7">
        <f t="shared" si="5"/>
        <v>-16255</v>
      </c>
      <c r="F55" s="11">
        <f t="shared" si="3"/>
        <v>516</v>
      </c>
      <c r="G55" s="15"/>
      <c r="H55" s="9" t="s">
        <v>689</v>
      </c>
      <c r="I55" s="9"/>
      <c r="J55" s="9"/>
      <c r="K55" s="9"/>
      <c r="L55" s="9"/>
      <c r="M55" s="9"/>
      <c r="N55" s="9"/>
    </row>
    <row r="56" spans="1:14" x14ac:dyDescent="0.25">
      <c r="A56" s="6">
        <v>42</v>
      </c>
      <c r="B56" s="7">
        <f>INDEX(income!$A$1:$O$142,A56+1,MATCH($B$1,income!$A$1:$O$1,FALSE))*IF($B$4="yes",2,1)</f>
        <v>2181</v>
      </c>
      <c r="C56" s="7">
        <f>-playground_helper!N43</f>
        <v>0</v>
      </c>
      <c r="D56" s="7">
        <f t="shared" si="4"/>
        <v>18952</v>
      </c>
      <c r="E56" s="7">
        <f t="shared" si="5"/>
        <v>-16255</v>
      </c>
      <c r="F56" s="11">
        <f t="shared" si="3"/>
        <v>2697</v>
      </c>
      <c r="G56" s="15"/>
      <c r="H56" s="9"/>
      <c r="I56" s="9"/>
      <c r="J56" s="9"/>
      <c r="K56" s="9"/>
      <c r="L56" s="9"/>
      <c r="M56" s="9"/>
      <c r="N56" s="9"/>
    </row>
    <row r="57" spans="1:14" x14ac:dyDescent="0.25">
      <c r="A57" s="6">
        <v>43</v>
      </c>
      <c r="B57" s="7">
        <f>INDEX(income!$A$1:$O$142,A57+1,MATCH($B$1,income!$A$1:$O$1,FALSE))*IF($B$4="yes",2,1)</f>
        <v>659</v>
      </c>
      <c r="C57" s="7">
        <f>-playground_helper!N44</f>
        <v>-2700</v>
      </c>
      <c r="D57" s="7">
        <f t="shared" si="4"/>
        <v>19611</v>
      </c>
      <c r="E57" s="7">
        <f t="shared" si="5"/>
        <v>-18955</v>
      </c>
      <c r="F57" s="11">
        <f t="shared" si="3"/>
        <v>656</v>
      </c>
      <c r="G57" s="15"/>
      <c r="H57" s="9" t="s">
        <v>690</v>
      </c>
      <c r="I57" s="9"/>
      <c r="J57" s="9"/>
      <c r="K57" s="9"/>
      <c r="L57" s="9"/>
      <c r="M57" s="9"/>
      <c r="N57" s="9"/>
    </row>
    <row r="58" spans="1:14" x14ac:dyDescent="0.25">
      <c r="A58" s="6">
        <v>44</v>
      </c>
      <c r="B58" s="7">
        <f>INDEX(income!$A$1:$O$142,A58+1,MATCH($B$1,income!$A$1:$O$1,FALSE))*IF($B$4="yes",2,1)</f>
        <v>1278</v>
      </c>
      <c r="C58" s="7">
        <f>-playground_helper!N45</f>
        <v>0</v>
      </c>
      <c r="D58" s="7">
        <f t="shared" si="4"/>
        <v>20889</v>
      </c>
      <c r="E58" s="7">
        <f t="shared" si="5"/>
        <v>-18955</v>
      </c>
      <c r="F58" s="11">
        <f t="shared" si="3"/>
        <v>1934</v>
      </c>
      <c r="G58" s="15"/>
      <c r="H58" s="9"/>
      <c r="I58" s="9"/>
      <c r="J58" s="9"/>
      <c r="K58" s="9"/>
      <c r="L58" s="9"/>
      <c r="M58" s="9"/>
      <c r="N58" s="9"/>
    </row>
    <row r="59" spans="1:14" x14ac:dyDescent="0.25">
      <c r="A59" s="6">
        <v>45</v>
      </c>
      <c r="B59" s="7">
        <f>INDEX(income!$A$1:$O$142,A59+1,MATCH($B$1,income!$A$1:$O$1,FALSE))*IF($B$4="yes",2,1)</f>
        <v>1294</v>
      </c>
      <c r="C59" s="7">
        <f>-playground_helper!N46</f>
        <v>0</v>
      </c>
      <c r="D59" s="7">
        <f t="shared" si="4"/>
        <v>22183</v>
      </c>
      <c r="E59" s="7">
        <f t="shared" si="5"/>
        <v>-18955</v>
      </c>
      <c r="F59" s="11">
        <f t="shared" si="3"/>
        <v>3228</v>
      </c>
      <c r="G59" s="15"/>
      <c r="H59" s="9"/>
      <c r="I59" s="9"/>
      <c r="J59" s="9"/>
      <c r="K59" s="9"/>
      <c r="L59" s="9"/>
      <c r="M59" s="9"/>
      <c r="N59" s="9"/>
    </row>
    <row r="60" spans="1:14" x14ac:dyDescent="0.25">
      <c r="A60" s="6">
        <v>46</v>
      </c>
      <c r="B60" s="7">
        <f>INDEX(income!$A$1:$O$142,A60+1,MATCH($B$1,income!$A$1:$O$1,FALSE))*IF($B$4="yes",2,1)</f>
        <v>2422</v>
      </c>
      <c r="C60" s="7">
        <f>-playground_helper!N47</f>
        <v>0</v>
      </c>
      <c r="D60" s="7">
        <f t="shared" si="4"/>
        <v>24605</v>
      </c>
      <c r="E60" s="7">
        <f t="shared" si="5"/>
        <v>-18955</v>
      </c>
      <c r="F60" s="11">
        <f t="shared" si="3"/>
        <v>5650</v>
      </c>
      <c r="G60" s="15"/>
      <c r="H60" s="9"/>
      <c r="I60" s="9"/>
      <c r="J60" s="9"/>
      <c r="K60" s="9"/>
      <c r="L60" s="9"/>
      <c r="M60" s="9"/>
      <c r="N60" s="9"/>
    </row>
    <row r="61" spans="1:14" x14ac:dyDescent="0.25">
      <c r="A61" s="6">
        <v>47</v>
      </c>
      <c r="B61" s="7">
        <f>INDEX(income!$A$1:$O$142,A61+1,MATCH($B$1,income!$A$1:$O$1,FALSE))*IF($B$4="yes",2,1)</f>
        <v>716</v>
      </c>
      <c r="C61" s="7">
        <f>-playground_helper!N48</f>
        <v>-6265</v>
      </c>
      <c r="D61" s="7">
        <f t="shared" si="4"/>
        <v>25321</v>
      </c>
      <c r="E61" s="7">
        <f t="shared" si="5"/>
        <v>-25220</v>
      </c>
      <c r="F61" s="11">
        <f t="shared" si="3"/>
        <v>101</v>
      </c>
      <c r="G61" s="15"/>
      <c r="H61" s="9" t="s">
        <v>691</v>
      </c>
      <c r="I61" s="9" t="s">
        <v>670</v>
      </c>
      <c r="J61" s="9" t="s">
        <v>693</v>
      </c>
      <c r="K61" s="9"/>
      <c r="L61" s="9"/>
      <c r="M61" s="9"/>
      <c r="N61" s="9"/>
    </row>
    <row r="62" spans="1:14" x14ac:dyDescent="0.25">
      <c r="A62" s="6">
        <v>48</v>
      </c>
      <c r="B62" s="7">
        <f>INDEX(income!$A$1:$O$142,A62+1,MATCH($B$1,income!$A$1:$O$1,FALSE))*IF($B$4="yes",2,1)</f>
        <v>1637</v>
      </c>
      <c r="C62" s="7">
        <f>-playground_helper!N49</f>
        <v>-1565</v>
      </c>
      <c r="D62" s="7">
        <f t="shared" si="4"/>
        <v>26958</v>
      </c>
      <c r="E62" s="7">
        <f t="shared" si="5"/>
        <v>-26785</v>
      </c>
      <c r="F62" s="11">
        <f t="shared" si="3"/>
        <v>173</v>
      </c>
      <c r="G62" s="15"/>
      <c r="H62" s="13" t="s">
        <v>669</v>
      </c>
      <c r="I62" s="13" t="s">
        <v>684</v>
      </c>
      <c r="J62" s="9"/>
      <c r="K62" s="9"/>
      <c r="L62" s="9"/>
      <c r="M62" s="9"/>
      <c r="N62" s="9"/>
    </row>
    <row r="63" spans="1:14" x14ac:dyDescent="0.25">
      <c r="A63" s="6">
        <v>49</v>
      </c>
      <c r="B63" s="7">
        <f>INDEX(income!$A$1:$O$142,A63+1,MATCH($B$1,income!$A$1:$O$1,FALSE))*IF($B$4="yes",2,1)</f>
        <v>2843</v>
      </c>
      <c r="C63" s="7">
        <f>-playground_helper!N50</f>
        <v>-2860</v>
      </c>
      <c r="D63" s="7">
        <f t="shared" si="4"/>
        <v>29801</v>
      </c>
      <c r="E63" s="7">
        <f t="shared" si="5"/>
        <v>-29645</v>
      </c>
      <c r="F63" s="11">
        <f t="shared" si="3"/>
        <v>156</v>
      </c>
      <c r="G63" s="15"/>
      <c r="H63" s="13" t="s">
        <v>685</v>
      </c>
      <c r="I63" s="13" t="s">
        <v>682</v>
      </c>
      <c r="J63" s="9" t="s">
        <v>695</v>
      </c>
      <c r="K63" s="9"/>
      <c r="L63" s="9"/>
      <c r="M63" s="9"/>
      <c r="N63" s="9"/>
    </row>
    <row r="64" spans="1:14" x14ac:dyDescent="0.25">
      <c r="A64" s="6">
        <v>50</v>
      </c>
      <c r="B64" s="7">
        <f>INDEX(income!$A$1:$O$142,A64+1,MATCH($B$1,income!$A$1:$O$1,FALSE))*IF($B$4="yes",2,1)</f>
        <v>4758</v>
      </c>
      <c r="C64" s="7">
        <f>-playground_helper!N51</f>
        <v>-3920</v>
      </c>
      <c r="D64" s="7">
        <f t="shared" si="4"/>
        <v>34559</v>
      </c>
      <c r="E64" s="7">
        <f t="shared" si="5"/>
        <v>-33565</v>
      </c>
      <c r="F64" s="11">
        <f t="shared" si="3"/>
        <v>994</v>
      </c>
      <c r="G64" s="15"/>
      <c r="H64" s="13" t="s">
        <v>683</v>
      </c>
      <c r="I64" s="9" t="s">
        <v>694</v>
      </c>
      <c r="J64" s="9" t="s">
        <v>696</v>
      </c>
      <c r="K64" s="9" t="s">
        <v>697</v>
      </c>
      <c r="L64" s="9"/>
      <c r="M64" s="9"/>
      <c r="N64" s="9"/>
    </row>
    <row r="65" spans="1:14" x14ac:dyDescent="0.25">
      <c r="A65" s="6">
        <v>51</v>
      </c>
      <c r="B65" s="7">
        <f>INDEX(income!$A$1:$O$142,A65+1,MATCH($B$1,income!$A$1:$O$1,FALSE))*IF($B$4="yes",2,1)</f>
        <v>3016</v>
      </c>
      <c r="C65" s="7">
        <f>-playground_helper!N52</f>
        <v>-3185</v>
      </c>
      <c r="D65" s="7">
        <f t="shared" si="4"/>
        <v>37575</v>
      </c>
      <c r="E65" s="7">
        <f t="shared" si="5"/>
        <v>-36750</v>
      </c>
      <c r="F65" s="11">
        <f t="shared" si="3"/>
        <v>825</v>
      </c>
      <c r="G65" s="15"/>
      <c r="H65" s="9" t="s">
        <v>698</v>
      </c>
      <c r="I65" s="9"/>
      <c r="J65" s="9"/>
      <c r="K65" s="9"/>
      <c r="L65" s="9"/>
      <c r="M65" s="9"/>
      <c r="N65" s="9"/>
    </row>
    <row r="66" spans="1:14" x14ac:dyDescent="0.25">
      <c r="A66" s="6">
        <v>52</v>
      </c>
      <c r="B66" s="7">
        <f>INDEX(income!$A$1:$O$142,A66+1,MATCH($B$1,income!$A$1:$O$1,FALSE))*IF($B$4="yes",2,1)</f>
        <v>1098.5</v>
      </c>
      <c r="C66" s="7">
        <f>-playground_helper!N53</f>
        <v>-1565</v>
      </c>
      <c r="D66" s="7">
        <f t="shared" si="4"/>
        <v>38673.5</v>
      </c>
      <c r="E66" s="7">
        <f t="shared" si="5"/>
        <v>-38315</v>
      </c>
      <c r="F66" s="11">
        <f t="shared" si="3"/>
        <v>358.5</v>
      </c>
      <c r="G66" s="15"/>
      <c r="H66" s="9" t="s">
        <v>671</v>
      </c>
      <c r="I66" s="9" t="s">
        <v>700</v>
      </c>
      <c r="J66" s="9"/>
      <c r="K66" s="9"/>
      <c r="L66" s="9"/>
      <c r="M66" s="9"/>
      <c r="N66" s="9"/>
    </row>
    <row r="67" spans="1:14" x14ac:dyDescent="0.25">
      <c r="A67" s="6">
        <v>53</v>
      </c>
      <c r="B67" s="7">
        <f>INDEX(income!$A$1:$O$142,A67+1,MATCH($B$1,income!$A$1:$O$1,FALSE))*IF($B$4="yes",2,1)</f>
        <v>1595.5</v>
      </c>
      <c r="C67" s="7">
        <f>-playground_helper!N54</f>
        <v>-1835</v>
      </c>
      <c r="D67" s="7">
        <f t="shared" si="4"/>
        <v>40269</v>
      </c>
      <c r="E67" s="7">
        <f t="shared" si="5"/>
        <v>-40150</v>
      </c>
      <c r="F67" s="11">
        <f t="shared" si="3"/>
        <v>119</v>
      </c>
      <c r="G67" s="15"/>
      <c r="H67" s="9" t="s">
        <v>701</v>
      </c>
      <c r="I67" s="9" t="s">
        <v>702</v>
      </c>
      <c r="J67" s="9" t="s">
        <v>703</v>
      </c>
      <c r="K67" s="9"/>
      <c r="L67" s="9"/>
      <c r="M67" s="9"/>
      <c r="N67" s="9"/>
    </row>
    <row r="68" spans="1:14" x14ac:dyDescent="0.25">
      <c r="A68" s="6">
        <v>54</v>
      </c>
      <c r="B68" s="7">
        <f>INDEX(income!$A$1:$O$142,A68+1,MATCH($B$1,income!$A$1:$O$1,FALSE))*IF($B$4="yes",2,1)</f>
        <v>924.5</v>
      </c>
      <c r="C68" s="7">
        <f>-playground_helper!N55</f>
        <v>0</v>
      </c>
      <c r="D68" s="7">
        <f t="shared" si="4"/>
        <v>41193.5</v>
      </c>
      <c r="E68" s="7">
        <f t="shared" si="5"/>
        <v>-40150</v>
      </c>
      <c r="F68" s="11">
        <f t="shared" si="3"/>
        <v>1043.5</v>
      </c>
      <c r="G68" s="15"/>
      <c r="H68" s="9"/>
      <c r="I68" s="9"/>
      <c r="J68" s="9"/>
      <c r="K68" s="9"/>
      <c r="L68" s="9"/>
      <c r="M68" s="9"/>
      <c r="N68" s="9"/>
    </row>
    <row r="69" spans="1:14" x14ac:dyDescent="0.25">
      <c r="A69" s="6">
        <v>55</v>
      </c>
      <c r="B69" s="7">
        <f>INDEX(income!$A$1:$O$142,A69+1,MATCH($B$1,income!$A$1:$O$1,FALSE))*IF($B$4="yes",2,1)</f>
        <v>2197.5</v>
      </c>
      <c r="C69" s="7">
        <f>-playground_helper!N56</f>
        <v>-2755</v>
      </c>
      <c r="D69" s="7">
        <f t="shared" si="4"/>
        <v>43391</v>
      </c>
      <c r="E69" s="7">
        <f t="shared" si="5"/>
        <v>-42905</v>
      </c>
      <c r="F69" s="11">
        <f t="shared" si="3"/>
        <v>486</v>
      </c>
      <c r="G69" s="15"/>
      <c r="H69" s="9" t="s">
        <v>704</v>
      </c>
      <c r="I69" s="9"/>
      <c r="J69" s="9"/>
      <c r="K69" s="9"/>
      <c r="L69" s="9"/>
      <c r="M69" s="9"/>
      <c r="N69" s="9"/>
    </row>
    <row r="70" spans="1:14" x14ac:dyDescent="0.25">
      <c r="A70" s="6">
        <v>56</v>
      </c>
      <c r="B70" s="7">
        <f>INDEX(income!$A$1:$O$142,A70+1,MATCH($B$1,income!$A$1:$O$1,FALSE))*IF($B$4="yes",2,1)</f>
        <v>2483</v>
      </c>
      <c r="C70" s="7">
        <f>-playground_helper!N57</f>
        <v>-2160</v>
      </c>
      <c r="D70" s="7">
        <f t="shared" si="4"/>
        <v>45874</v>
      </c>
      <c r="E70" s="7">
        <f t="shared" si="5"/>
        <v>-45065</v>
      </c>
      <c r="F70" s="11">
        <f t="shared" si="3"/>
        <v>809</v>
      </c>
      <c r="G70" s="15"/>
      <c r="H70" s="12" t="s">
        <v>706</v>
      </c>
      <c r="I70" s="9"/>
      <c r="J70" s="9"/>
      <c r="K70" s="9"/>
      <c r="L70" s="9"/>
      <c r="M70" s="9"/>
      <c r="N70" s="9"/>
    </row>
    <row r="71" spans="1:14" x14ac:dyDescent="0.25">
      <c r="A71" s="6">
        <v>57</v>
      </c>
      <c r="B71" s="7">
        <f>INDEX(income!$A$1:$O$142,A71+1,MATCH($B$1,income!$A$1:$O$1,FALSE))*IF($B$4="yes",2,1)</f>
        <v>1286.5</v>
      </c>
      <c r="C71" s="7">
        <f>-playground_helper!N58</f>
        <v>0</v>
      </c>
      <c r="D71" s="7">
        <f t="shared" si="4"/>
        <v>47160.5</v>
      </c>
      <c r="E71" s="7">
        <f t="shared" si="5"/>
        <v>-45065</v>
      </c>
      <c r="F71" s="11">
        <f t="shared" si="3"/>
        <v>2095.5</v>
      </c>
      <c r="G71" s="15"/>
      <c r="H71" s="13"/>
      <c r="I71" s="9"/>
      <c r="J71" s="9"/>
      <c r="K71" s="9"/>
      <c r="L71" s="9"/>
      <c r="M71" s="9"/>
      <c r="N71" s="9"/>
    </row>
    <row r="72" spans="1:14" x14ac:dyDescent="0.25">
      <c r="A72" s="6">
        <v>58</v>
      </c>
      <c r="B72" s="7">
        <f>INDEX(income!$A$1:$O$142,A72+1,MATCH($B$1,income!$A$1:$O$1,FALSE))*IF($B$4="yes",2,1)</f>
        <v>1859</v>
      </c>
      <c r="C72" s="7">
        <f>-playground_helper!N59</f>
        <v>0</v>
      </c>
      <c r="D72" s="7">
        <f t="shared" si="4"/>
        <v>49019.5</v>
      </c>
      <c r="E72" s="7">
        <f t="shared" si="5"/>
        <v>-45065</v>
      </c>
      <c r="F72" s="11">
        <f t="shared" si="3"/>
        <v>3954.5</v>
      </c>
      <c r="G72" s="15"/>
      <c r="H72" s="13"/>
      <c r="I72" s="9"/>
      <c r="J72" s="9"/>
      <c r="K72" s="9"/>
      <c r="L72" s="9"/>
      <c r="M72" s="9"/>
      <c r="N72" s="9"/>
    </row>
    <row r="73" spans="1:14" x14ac:dyDescent="0.25">
      <c r="A73" s="6">
        <v>59</v>
      </c>
      <c r="B73" s="7">
        <f>INDEX(income!$A$1:$O$142,A73+1,MATCH($B$1,income!$A$1:$O$1,FALSE))*IF($B$4="yes",2,1)</f>
        <v>2298</v>
      </c>
      <c r="C73" s="7">
        <f>-playground_helper!N60</f>
        <v>0</v>
      </c>
      <c r="D73" s="7">
        <f t="shared" si="4"/>
        <v>51317.5</v>
      </c>
      <c r="E73" s="7">
        <f t="shared" si="5"/>
        <v>-45065</v>
      </c>
      <c r="F73" s="11">
        <f t="shared" si="3"/>
        <v>6252.5</v>
      </c>
      <c r="G73" s="15"/>
      <c r="H73" s="12"/>
      <c r="I73" s="9"/>
      <c r="J73" s="9"/>
      <c r="K73" s="9"/>
      <c r="L73" s="9"/>
      <c r="M73" s="9"/>
      <c r="N73" s="9"/>
    </row>
    <row r="74" spans="1:14" x14ac:dyDescent="0.25">
      <c r="A74" s="6">
        <v>60</v>
      </c>
      <c r="B74" s="7">
        <f>INDEX(income!$A$1:$O$142,A74+1,MATCH($B$1,income!$A$1:$O$1,FALSE))*IF($B$4="yes",2,1)</f>
        <v>2159</v>
      </c>
      <c r="C74" s="7">
        <f>-playground_helper!N61</f>
        <v>-8100</v>
      </c>
      <c r="D74" s="7">
        <f t="shared" si="4"/>
        <v>53476.5</v>
      </c>
      <c r="E74" s="7">
        <f t="shared" si="5"/>
        <v>-53165</v>
      </c>
      <c r="F74" s="11">
        <f t="shared" si="3"/>
        <v>311.5</v>
      </c>
      <c r="G74" s="15"/>
      <c r="H74" s="13" t="s">
        <v>722</v>
      </c>
      <c r="I74" s="9"/>
      <c r="J74" s="9"/>
      <c r="K74" s="9"/>
      <c r="L74" s="9"/>
      <c r="M74" s="9"/>
      <c r="N74" s="9"/>
    </row>
    <row r="75" spans="1:14" x14ac:dyDescent="0.25">
      <c r="A75" s="6">
        <v>61</v>
      </c>
      <c r="B75" s="7">
        <f>INDEX(income!$A$1:$O$142,A75+1,MATCH($B$1,income!$A$1:$O$1,FALSE))*IF($B$4="yes",2,1)</f>
        <v>922.5</v>
      </c>
      <c r="C75" s="7">
        <f>-playground_helper!N62</f>
        <v>0</v>
      </c>
      <c r="D75" s="7">
        <f t="shared" si="4"/>
        <v>54399</v>
      </c>
      <c r="E75" s="7">
        <f t="shared" si="5"/>
        <v>-53165</v>
      </c>
      <c r="F75" s="11">
        <f t="shared" si="3"/>
        <v>1234</v>
      </c>
      <c r="G75" s="15"/>
      <c r="H75" s="13"/>
      <c r="I75" s="9"/>
      <c r="J75" s="9"/>
      <c r="K75" s="9"/>
      <c r="L75" s="9"/>
      <c r="M75" s="9"/>
      <c r="N75" s="9"/>
    </row>
    <row r="76" spans="1:14" x14ac:dyDescent="0.25">
      <c r="A76" s="6">
        <v>62</v>
      </c>
      <c r="B76" s="7">
        <f>INDEX(income!$A$1:$O$142,A76+1,MATCH($B$1,income!$A$1:$O$1,FALSE))*IF($B$4="yes",2,1)</f>
        <v>1232</v>
      </c>
      <c r="C76" s="7">
        <f>-playground_helper!N63</f>
        <v>0</v>
      </c>
      <c r="D76" s="7">
        <f t="shared" si="4"/>
        <v>55631</v>
      </c>
      <c r="E76" s="7">
        <f t="shared" si="5"/>
        <v>-53165</v>
      </c>
      <c r="F76" s="11">
        <f t="shared" si="3"/>
        <v>2466</v>
      </c>
      <c r="G76" s="15"/>
      <c r="H76" s="13"/>
      <c r="I76" s="9"/>
      <c r="J76" s="9"/>
      <c r="K76" s="9"/>
      <c r="L76" s="9"/>
      <c r="M76" s="9"/>
      <c r="N76" s="9"/>
    </row>
    <row r="77" spans="1:14" x14ac:dyDescent="0.25">
      <c r="A77" s="6">
        <v>63</v>
      </c>
      <c r="B77" s="7">
        <f>INDEX(income!$A$1:$O$142,A77+1,MATCH($B$1,income!$A$1:$O$1,FALSE))*IF($B$4="yes",2,1)</f>
        <v>1386.4</v>
      </c>
      <c r="C77" s="7">
        <f>-playground_helper!N64</f>
        <v>0</v>
      </c>
      <c r="D77" s="7">
        <f t="shared" si="4"/>
        <v>57017.4</v>
      </c>
      <c r="E77" s="7">
        <f t="shared" si="5"/>
        <v>-53165</v>
      </c>
      <c r="F77" s="11">
        <f t="shared" si="3"/>
        <v>3852.4000000000015</v>
      </c>
      <c r="G77" s="15"/>
      <c r="H77" s="9"/>
      <c r="I77" s="9"/>
      <c r="J77" s="9"/>
      <c r="K77" s="9"/>
      <c r="L77" s="9"/>
      <c r="M77" s="9"/>
      <c r="N77" s="9"/>
    </row>
    <row r="78" spans="1:14" x14ac:dyDescent="0.25">
      <c r="A78" s="6">
        <v>64</v>
      </c>
      <c r="B78" s="7">
        <f>INDEX(income!$A$1:$O$142,A78+1,MATCH($B$1,income!$A$1:$O$1,FALSE))*IF($B$4="yes",2,1)</f>
        <v>2826</v>
      </c>
      <c r="C78" s="7">
        <f>-playground_helper!N65</f>
        <v>0</v>
      </c>
      <c r="D78" s="7">
        <f t="shared" si="4"/>
        <v>59843.4</v>
      </c>
      <c r="E78" s="7">
        <f t="shared" si="5"/>
        <v>-53165</v>
      </c>
      <c r="F78" s="11">
        <f t="shared" si="3"/>
        <v>6678.4000000000015</v>
      </c>
      <c r="G78" s="15"/>
      <c r="H78" s="13"/>
      <c r="I78" s="9"/>
      <c r="J78" s="9"/>
      <c r="K78" s="9"/>
      <c r="L78" s="9"/>
      <c r="M78" s="9"/>
      <c r="N78" s="9"/>
    </row>
    <row r="79" spans="1:14" x14ac:dyDescent="0.25">
      <c r="A79" s="6">
        <v>65</v>
      </c>
      <c r="B79" s="7">
        <f>INDEX(income!$A$1:$O$142,A79+1,MATCH($B$1,income!$A$1:$O$1,FALSE))*IF($B$4="yes",2,1)</f>
        <v>849.8</v>
      </c>
      <c r="C79" s="7">
        <f>-playground_helper!N66</f>
        <v>0</v>
      </c>
      <c r="D79" s="7">
        <f t="shared" si="4"/>
        <v>60693.200000000004</v>
      </c>
      <c r="E79" s="7">
        <f t="shared" si="5"/>
        <v>-53165</v>
      </c>
      <c r="F79" s="11">
        <f t="shared" ref="F79:F110" si="6">SUM(D79:E79)</f>
        <v>7528.2000000000044</v>
      </c>
      <c r="G79" s="15"/>
      <c r="H79" s="13"/>
      <c r="I79" s="9"/>
      <c r="J79" s="9"/>
      <c r="K79" s="9"/>
      <c r="L79" s="9"/>
      <c r="M79" s="9"/>
      <c r="N79" s="9"/>
    </row>
    <row r="80" spans="1:14" x14ac:dyDescent="0.25">
      <c r="A80" s="6">
        <v>66</v>
      </c>
      <c r="B80" s="7">
        <f>INDEX(income!$A$1:$O$142,A80+1,MATCH($B$1,income!$A$1:$O$1,FALSE))*IF($B$4="yes",2,1)</f>
        <v>3071.6</v>
      </c>
      <c r="C80" s="7">
        <f>-playground_helper!N67</f>
        <v>0</v>
      </c>
      <c r="D80" s="7">
        <f t="shared" ref="D80:D111" si="7">D79+B80</f>
        <v>63764.800000000003</v>
      </c>
      <c r="E80" s="7">
        <f t="shared" ref="E80:E111" si="8">E79+C80</f>
        <v>-53165</v>
      </c>
      <c r="F80" s="11">
        <f t="shared" si="6"/>
        <v>10599.800000000003</v>
      </c>
      <c r="G80" s="15"/>
      <c r="H80" s="13"/>
      <c r="I80" s="9"/>
      <c r="J80" s="9"/>
      <c r="K80" s="9"/>
      <c r="L80" s="9"/>
      <c r="M80" s="9"/>
      <c r="N80" s="9"/>
    </row>
    <row r="81" spans="1:14" x14ac:dyDescent="0.25">
      <c r="A81" s="6">
        <v>67</v>
      </c>
      <c r="B81" s="7">
        <f>INDEX(income!$A$1:$O$142,A81+1,MATCH($B$1,income!$A$1:$O$1,FALSE))*IF($B$4="yes",2,1)</f>
        <v>1004.2</v>
      </c>
      <c r="C81" s="7">
        <f>-playground_helper!N68</f>
        <v>0</v>
      </c>
      <c r="D81" s="7">
        <f t="shared" si="7"/>
        <v>64769</v>
      </c>
      <c r="E81" s="7">
        <f t="shared" si="8"/>
        <v>-53165</v>
      </c>
      <c r="F81" s="11">
        <f t="shared" si="6"/>
        <v>11604</v>
      </c>
      <c r="G81" s="15"/>
      <c r="H81" s="13"/>
      <c r="I81" s="9"/>
      <c r="J81" s="9"/>
      <c r="K81" s="9"/>
      <c r="L81" s="9"/>
      <c r="M81" s="9"/>
      <c r="N81" s="9"/>
    </row>
    <row r="82" spans="1:14" x14ac:dyDescent="0.25">
      <c r="A82" s="6">
        <v>68</v>
      </c>
      <c r="B82" s="7">
        <f>INDEX(income!$A$1:$O$142,A82+1,MATCH($B$1,income!$A$1:$O$1,FALSE))*IF($B$4="yes",2,1)</f>
        <v>1023.6</v>
      </c>
      <c r="C82" s="7">
        <f>-playground_helper!N69</f>
        <v>0</v>
      </c>
      <c r="D82" s="7">
        <f t="shared" si="7"/>
        <v>65792.600000000006</v>
      </c>
      <c r="E82" s="7">
        <f t="shared" si="8"/>
        <v>-53165</v>
      </c>
      <c r="F82" s="11">
        <f t="shared" si="6"/>
        <v>12627.600000000006</v>
      </c>
      <c r="G82" s="15"/>
      <c r="H82" s="9"/>
      <c r="I82" s="9"/>
      <c r="J82" s="9"/>
      <c r="K82" s="9"/>
      <c r="L82" s="9"/>
      <c r="M82" s="9"/>
      <c r="N82" s="9"/>
    </row>
    <row r="83" spans="1:14" x14ac:dyDescent="0.25">
      <c r="A83" s="6">
        <v>69</v>
      </c>
      <c r="B83" s="7">
        <f>INDEX(income!$A$1:$O$142,A83+1,MATCH($B$1,income!$A$1:$O$1,FALSE))*IF($B$4="yes",2,1)</f>
        <v>777.8</v>
      </c>
      <c r="C83" s="7">
        <f>-playground_helper!N70</f>
        <v>0</v>
      </c>
      <c r="D83" s="7">
        <f t="shared" si="7"/>
        <v>66570.400000000009</v>
      </c>
      <c r="E83" s="7">
        <f t="shared" si="8"/>
        <v>-53165</v>
      </c>
      <c r="F83" s="11">
        <f t="shared" si="6"/>
        <v>13405.400000000009</v>
      </c>
      <c r="G83" s="15"/>
      <c r="H83" s="9"/>
      <c r="I83" s="9"/>
      <c r="J83" s="9"/>
      <c r="K83" s="9"/>
      <c r="L83" s="9"/>
      <c r="M83" s="9"/>
      <c r="N83" s="9"/>
    </row>
    <row r="84" spans="1:14" x14ac:dyDescent="0.25">
      <c r="A84" s="6">
        <v>70</v>
      </c>
      <c r="B84" s="7">
        <f>INDEX(income!$A$1:$O$142,A84+1,MATCH($B$1,income!$A$1:$O$1,FALSE))*IF($B$4="yes",2,1)</f>
        <v>1391</v>
      </c>
      <c r="C84" s="7">
        <f>-playground_helper!N71</f>
        <v>0</v>
      </c>
      <c r="D84" s="7">
        <f t="shared" si="7"/>
        <v>67961.400000000009</v>
      </c>
      <c r="E84" s="7">
        <f t="shared" si="8"/>
        <v>-53165</v>
      </c>
      <c r="F84" s="11">
        <f t="shared" si="6"/>
        <v>14796.400000000009</v>
      </c>
      <c r="G84" s="15"/>
      <c r="H84" s="9"/>
      <c r="I84" s="9"/>
      <c r="J84" s="9"/>
      <c r="K84" s="9"/>
      <c r="L84" s="9"/>
      <c r="M84" s="9"/>
      <c r="N84" s="9"/>
    </row>
    <row r="85" spans="1:14" x14ac:dyDescent="0.25">
      <c r="A85" s="6">
        <v>71</v>
      </c>
      <c r="B85" s="7">
        <f>INDEX(income!$A$1:$O$142,A85+1,MATCH($B$1,income!$A$1:$O$1,FALSE))*IF($B$4="yes",2,1)</f>
        <v>2618.8000000000002</v>
      </c>
      <c r="C85" s="7">
        <f>-playground_helper!N72</f>
        <v>0</v>
      </c>
      <c r="D85" s="7">
        <f t="shared" si="7"/>
        <v>70580.200000000012</v>
      </c>
      <c r="E85" s="7">
        <f t="shared" si="8"/>
        <v>-53165</v>
      </c>
      <c r="F85" s="11">
        <f t="shared" si="6"/>
        <v>17415.200000000012</v>
      </c>
      <c r="G85" s="15"/>
      <c r="H85" s="9"/>
      <c r="I85" s="9"/>
      <c r="J85" s="9"/>
      <c r="K85" s="9"/>
      <c r="L85" s="9"/>
      <c r="M85" s="9"/>
      <c r="N85" s="9"/>
    </row>
    <row r="86" spans="1:14" x14ac:dyDescent="0.25">
      <c r="A86" s="6">
        <v>72</v>
      </c>
      <c r="B86" s="7">
        <f>INDEX(income!$A$1:$O$142,A86+1,MATCH($B$1,income!$A$1:$O$1,FALSE))*IF($B$4="yes",2,1)</f>
        <v>1503</v>
      </c>
      <c r="C86" s="7">
        <f>-playground_helper!N73</f>
        <v>0</v>
      </c>
      <c r="D86" s="7">
        <f t="shared" si="7"/>
        <v>72083.200000000012</v>
      </c>
      <c r="E86" s="7">
        <f t="shared" si="8"/>
        <v>-53165</v>
      </c>
      <c r="F86" s="11">
        <f t="shared" si="6"/>
        <v>18918.200000000012</v>
      </c>
      <c r="G86" s="15"/>
      <c r="H86" s="13"/>
      <c r="I86" s="9"/>
      <c r="J86" s="9"/>
      <c r="K86" s="9"/>
      <c r="L86" s="9"/>
      <c r="M86" s="9"/>
      <c r="N86" s="9"/>
    </row>
    <row r="87" spans="1:14" x14ac:dyDescent="0.25">
      <c r="A87" s="6">
        <v>73</v>
      </c>
      <c r="B87" s="7">
        <f>INDEX(income!$A$1:$O$142,A87+1,MATCH($B$1,income!$A$1:$O$1,FALSE))*IF($B$4="yes",2,1)</f>
        <v>1504</v>
      </c>
      <c r="C87" s="7">
        <f>-playground_helper!N74</f>
        <v>0</v>
      </c>
      <c r="D87" s="7">
        <f t="shared" si="7"/>
        <v>73587.200000000012</v>
      </c>
      <c r="E87" s="7">
        <f t="shared" si="8"/>
        <v>-53165</v>
      </c>
      <c r="F87" s="11">
        <f t="shared" si="6"/>
        <v>20422.200000000012</v>
      </c>
      <c r="G87" s="15"/>
      <c r="H87" s="9"/>
      <c r="I87" s="9"/>
      <c r="J87" s="9"/>
      <c r="K87" s="9"/>
      <c r="L87" s="9"/>
      <c r="M87" s="9"/>
      <c r="N87" s="9"/>
    </row>
    <row r="88" spans="1:14" x14ac:dyDescent="0.25">
      <c r="A88" s="6">
        <v>74</v>
      </c>
      <c r="B88" s="7">
        <f>INDEX(income!$A$1:$O$142,A88+1,MATCH($B$1,income!$A$1:$O$1,FALSE))*IF($B$4="yes",2,1)</f>
        <v>1392.6</v>
      </c>
      <c r="C88" s="7">
        <f>-playground_helper!N75</f>
        <v>0</v>
      </c>
      <c r="D88" s="7">
        <f t="shared" si="7"/>
        <v>74979.800000000017</v>
      </c>
      <c r="E88" s="7">
        <f t="shared" si="8"/>
        <v>-53165</v>
      </c>
      <c r="F88" s="11">
        <f t="shared" si="6"/>
        <v>21814.800000000017</v>
      </c>
      <c r="G88" s="15"/>
      <c r="H88" s="9"/>
      <c r="I88" s="9"/>
      <c r="J88" s="9"/>
      <c r="K88" s="9"/>
      <c r="L88" s="9"/>
      <c r="M88" s="9"/>
      <c r="N88" s="9"/>
    </row>
    <row r="89" spans="1:14" x14ac:dyDescent="0.25">
      <c r="A89" s="6">
        <v>75</v>
      </c>
      <c r="B89" s="7">
        <f>INDEX(income!$A$1:$O$142,A89+1,MATCH($B$1,income!$A$1:$O$1,FALSE))*IF($B$4="yes",2,1)</f>
        <v>3044</v>
      </c>
      <c r="C89" s="7">
        <f>-playground_helper!N76</f>
        <v>0</v>
      </c>
      <c r="D89" s="7">
        <f t="shared" si="7"/>
        <v>78023.800000000017</v>
      </c>
      <c r="E89" s="7">
        <f t="shared" si="8"/>
        <v>-53165</v>
      </c>
      <c r="F89" s="11">
        <f t="shared" si="6"/>
        <v>24858.800000000017</v>
      </c>
      <c r="G89" s="15"/>
      <c r="H89" s="9"/>
      <c r="I89" s="9"/>
      <c r="J89" s="9"/>
      <c r="K89" s="9"/>
      <c r="L89" s="9"/>
      <c r="M89" s="9"/>
      <c r="N89" s="9"/>
    </row>
    <row r="90" spans="1:14" x14ac:dyDescent="0.25">
      <c r="A90" s="6">
        <v>76</v>
      </c>
      <c r="B90" s="7">
        <f>INDEX(income!$A$1:$O$142,A90+1,MATCH($B$1,income!$A$1:$O$1,FALSE))*IF($B$4="yes",2,1)</f>
        <v>2667.4</v>
      </c>
      <c r="C90" s="7">
        <f>-playground_helper!N77</f>
        <v>-25270</v>
      </c>
      <c r="D90" s="7">
        <f t="shared" si="7"/>
        <v>80691.200000000012</v>
      </c>
      <c r="E90" s="7">
        <f t="shared" si="8"/>
        <v>-78435</v>
      </c>
      <c r="F90" s="11">
        <f t="shared" si="6"/>
        <v>2256.2000000000116</v>
      </c>
      <c r="G90" s="15"/>
      <c r="H90" s="9" t="s">
        <v>705</v>
      </c>
      <c r="I90" s="9"/>
      <c r="J90" s="9"/>
      <c r="K90" s="9"/>
      <c r="L90" s="9"/>
      <c r="M90" s="9"/>
      <c r="N90" s="9"/>
    </row>
    <row r="91" spans="1:14" x14ac:dyDescent="0.25">
      <c r="A91" s="6">
        <v>77</v>
      </c>
      <c r="B91" s="7">
        <f>INDEX(income!$A$1:$O$142,A91+1,MATCH($B$1,income!$A$1:$O$1,FALSE))*IF($B$4="yes",2,1)</f>
        <v>1316</v>
      </c>
      <c r="C91" s="7">
        <f>-playground_helper!N78</f>
        <v>0</v>
      </c>
      <c r="D91" s="7">
        <f t="shared" si="7"/>
        <v>82007.200000000012</v>
      </c>
      <c r="E91" s="7">
        <f t="shared" si="8"/>
        <v>-78435</v>
      </c>
      <c r="F91" s="11">
        <f t="shared" si="6"/>
        <v>3572.2000000000116</v>
      </c>
      <c r="G91" s="15"/>
      <c r="H91" s="12"/>
      <c r="I91" s="9"/>
      <c r="J91" s="9"/>
      <c r="K91" s="9"/>
      <c r="L91" s="9"/>
      <c r="M91" s="9"/>
      <c r="N91" s="9"/>
    </row>
    <row r="92" spans="1:14" x14ac:dyDescent="0.25">
      <c r="A92" s="6">
        <v>78</v>
      </c>
      <c r="B92" s="7">
        <f>INDEX(income!$A$1:$O$142,A92+1,MATCH($B$1,income!$A$1:$O$1,FALSE))*IF($B$4="yes",2,1)</f>
        <v>2540.1999999999998</v>
      </c>
      <c r="C92" s="7">
        <f>-playground_helper!N79</f>
        <v>0</v>
      </c>
      <c r="D92" s="7">
        <f t="shared" si="7"/>
        <v>84547.400000000009</v>
      </c>
      <c r="E92" s="7">
        <f t="shared" si="8"/>
        <v>-78435</v>
      </c>
      <c r="F92" s="11">
        <f t="shared" si="6"/>
        <v>6112.4000000000087</v>
      </c>
      <c r="G92" s="15"/>
      <c r="H92" s="13"/>
      <c r="I92" s="9"/>
      <c r="J92" s="9"/>
      <c r="K92" s="9"/>
      <c r="L92" s="9"/>
      <c r="M92" s="9"/>
      <c r="N92" s="9"/>
    </row>
    <row r="93" spans="1:14" x14ac:dyDescent="0.25">
      <c r="A93" s="6">
        <v>79</v>
      </c>
      <c r="B93" s="7">
        <f>INDEX(income!$A$1:$O$142,A93+1,MATCH($B$1,income!$A$1:$O$1,FALSE))*IF($B$4="yes",2,1)</f>
        <v>4862</v>
      </c>
      <c r="C93" s="7">
        <f>-playground_helper!N80</f>
        <v>0</v>
      </c>
      <c r="D93" s="7">
        <f t="shared" si="7"/>
        <v>89409.400000000009</v>
      </c>
      <c r="E93" s="7">
        <f t="shared" si="8"/>
        <v>-78435</v>
      </c>
      <c r="F93" s="11">
        <f t="shared" si="6"/>
        <v>10974.400000000009</v>
      </c>
      <c r="G93" s="15"/>
      <c r="H93" s="13"/>
      <c r="I93" s="10"/>
      <c r="J93" s="10"/>
      <c r="K93" s="9"/>
      <c r="L93" s="9"/>
      <c r="M93" s="9"/>
      <c r="N93" s="9"/>
    </row>
    <row r="94" spans="1:14" x14ac:dyDescent="0.25">
      <c r="A94" s="6">
        <v>80</v>
      </c>
      <c r="B94" s="7">
        <f>INDEX(income!$A$1:$O$142,A94+1,MATCH($B$1,income!$A$1:$O$1,FALSE))*IF($B$4="yes",2,1)</f>
        <v>6709</v>
      </c>
      <c r="C94" s="7">
        <f>-playground_helper!N81</f>
        <v>0</v>
      </c>
      <c r="D94" s="7">
        <f t="shared" si="7"/>
        <v>96118.400000000009</v>
      </c>
      <c r="E94" s="7">
        <f t="shared" si="8"/>
        <v>-78435</v>
      </c>
      <c r="F94" s="11">
        <f t="shared" si="6"/>
        <v>17683.400000000009</v>
      </c>
      <c r="G94" s="15"/>
      <c r="H94" s="13"/>
      <c r="I94" s="10"/>
      <c r="J94" s="9"/>
      <c r="K94" s="9"/>
      <c r="L94" s="9"/>
      <c r="M94" s="9"/>
      <c r="N94" s="9"/>
    </row>
    <row r="95" spans="1:14" x14ac:dyDescent="0.25">
      <c r="A95" s="6">
        <v>81</v>
      </c>
      <c r="B95" s="7">
        <f>INDEX(income!$A$1:$O$142,A95+1,MATCH($B$1,income!$A$1:$O$1,FALSE))*IF($B$4="yes",2,1)</f>
        <v>1400.2</v>
      </c>
      <c r="C95" s="7">
        <f>-playground_helper!N82</f>
        <v>0</v>
      </c>
      <c r="D95" s="7">
        <f t="shared" si="7"/>
        <v>97518.6</v>
      </c>
      <c r="E95" s="7">
        <f t="shared" si="8"/>
        <v>-78435</v>
      </c>
      <c r="F95" s="11">
        <f t="shared" si="6"/>
        <v>19083.600000000006</v>
      </c>
      <c r="G95" s="15"/>
      <c r="H95" s="9"/>
      <c r="I95" s="9"/>
      <c r="J95" s="9"/>
      <c r="K95" s="9"/>
      <c r="L95" s="9"/>
      <c r="M95" s="9"/>
      <c r="N95" s="9"/>
    </row>
    <row r="96" spans="1:14" x14ac:dyDescent="0.25">
      <c r="A96" s="6">
        <v>82</v>
      </c>
      <c r="B96" s="7">
        <f>INDEX(income!$A$1:$O$142,A96+1,MATCH($B$1,income!$A$1:$O$1,FALSE))*IF($B$4="yes",2,1)</f>
        <v>5366</v>
      </c>
      <c r="C96" s="7">
        <f>-playground_helper!N83</f>
        <v>0</v>
      </c>
      <c r="D96" s="7">
        <f t="shared" si="7"/>
        <v>102884.6</v>
      </c>
      <c r="E96" s="7">
        <f t="shared" si="8"/>
        <v>-78435</v>
      </c>
      <c r="F96" s="11">
        <f t="shared" si="6"/>
        <v>24449.600000000006</v>
      </c>
      <c r="G96" s="15"/>
      <c r="H96" s="9"/>
      <c r="I96" s="9"/>
      <c r="J96" s="9"/>
      <c r="K96" s="9"/>
      <c r="L96" s="9"/>
      <c r="M96" s="9"/>
      <c r="N96" s="9"/>
    </row>
    <row r="97" spans="1:14" x14ac:dyDescent="0.25">
      <c r="A97" s="6">
        <v>83</v>
      </c>
      <c r="B97" s="7">
        <f>INDEX(income!$A$1:$O$142,A97+1,MATCH($B$1,income!$A$1:$O$1,FALSE))*IF($B$4="yes",2,1)</f>
        <v>4757</v>
      </c>
      <c r="C97" s="7">
        <f>-playground_helper!N84</f>
        <v>0</v>
      </c>
      <c r="D97" s="7">
        <f t="shared" si="7"/>
        <v>107641.60000000001</v>
      </c>
      <c r="E97" s="7">
        <f t="shared" si="8"/>
        <v>-78435</v>
      </c>
      <c r="F97" s="11">
        <f t="shared" si="6"/>
        <v>29206.600000000006</v>
      </c>
      <c r="G97" s="15"/>
      <c r="H97" s="9"/>
      <c r="I97" s="9"/>
      <c r="J97" s="9"/>
      <c r="K97" s="9"/>
      <c r="L97" s="9"/>
      <c r="M97" s="9"/>
      <c r="N97" s="9"/>
    </row>
    <row r="98" spans="1:14" x14ac:dyDescent="0.25">
      <c r="A98" s="6">
        <v>84</v>
      </c>
      <c r="B98" s="7">
        <f>INDEX(income!$A$1:$O$142,A98+1,MATCH($B$1,income!$A$1:$O$1,FALSE))*IF($B$4="yes",2,1)</f>
        <v>4749</v>
      </c>
      <c r="C98" s="7">
        <f>-playground_helper!N85</f>
        <v>0</v>
      </c>
      <c r="D98" s="7">
        <f t="shared" si="7"/>
        <v>112390.6</v>
      </c>
      <c r="E98" s="7">
        <f t="shared" si="8"/>
        <v>-78435</v>
      </c>
      <c r="F98" s="11">
        <f t="shared" si="6"/>
        <v>33955.600000000006</v>
      </c>
      <c r="G98" s="15"/>
      <c r="H98" s="9"/>
      <c r="I98" s="9"/>
      <c r="J98" s="9"/>
      <c r="K98" s="9"/>
      <c r="L98" s="9"/>
      <c r="M98" s="9"/>
      <c r="N98" s="9"/>
    </row>
    <row r="99" spans="1:14" x14ac:dyDescent="0.25">
      <c r="A99" s="6">
        <v>85</v>
      </c>
      <c r="B99" s="7">
        <f>INDEX(income!$A$1:$O$142,A99+1,MATCH($B$1,income!$A$1:$O$1,FALSE))*IF($B$4="yes",2,1)</f>
        <v>7044</v>
      </c>
      <c r="C99" s="7">
        <f>-playground_helper!N86</f>
        <v>0</v>
      </c>
      <c r="D99" s="7">
        <f t="shared" si="7"/>
        <v>119434.6</v>
      </c>
      <c r="E99" s="7">
        <f t="shared" si="8"/>
        <v>-78435</v>
      </c>
      <c r="F99" s="11">
        <f t="shared" si="6"/>
        <v>40999.600000000006</v>
      </c>
      <c r="G99" s="15"/>
      <c r="H99" s="9"/>
      <c r="I99" s="9"/>
      <c r="J99" s="9"/>
      <c r="K99" s="9"/>
      <c r="L99" s="9"/>
      <c r="M99" s="9"/>
      <c r="N99" s="9"/>
    </row>
    <row r="100" spans="1:14" x14ac:dyDescent="0.25">
      <c r="A100" s="6">
        <v>86</v>
      </c>
      <c r="B100" s="7">
        <f>INDEX(income!$A$1:$O$142,A100+1,MATCH($B$1,income!$A$1:$O$1,FALSE))*IF($B$4="yes",2,1)</f>
        <v>2625.4</v>
      </c>
      <c r="C100" s="7">
        <f>-playground_helper!N87</f>
        <v>-43200</v>
      </c>
      <c r="D100" s="7">
        <f t="shared" si="7"/>
        <v>122060</v>
      </c>
      <c r="E100" s="7">
        <f t="shared" si="8"/>
        <v>-121635</v>
      </c>
      <c r="F100" s="11">
        <f t="shared" si="6"/>
        <v>425</v>
      </c>
      <c r="G100" s="15"/>
      <c r="H100" s="9" t="s">
        <v>692</v>
      </c>
      <c r="I100" s="9"/>
      <c r="J100" s="9"/>
      <c r="K100" s="9"/>
      <c r="L100" s="9"/>
      <c r="M100" s="9"/>
      <c r="N100" s="9"/>
    </row>
    <row r="101" spans="1:14" x14ac:dyDescent="0.25">
      <c r="A101" s="6">
        <v>87</v>
      </c>
      <c r="B101" s="7">
        <f>INDEX(income!$A$1:$O$142,A101+1,MATCH($B$1,income!$A$1:$O$1,FALSE))*IF($B$4="yes",2,1)</f>
        <v>948.5</v>
      </c>
      <c r="C101" s="7">
        <f>-playground_helper!N88</f>
        <v>0</v>
      </c>
      <c r="D101" s="7">
        <f t="shared" si="7"/>
        <v>123008.5</v>
      </c>
      <c r="E101" s="7">
        <f t="shared" si="8"/>
        <v>-121635</v>
      </c>
      <c r="F101" s="11">
        <f t="shared" si="6"/>
        <v>1373.5</v>
      </c>
      <c r="G101" s="15"/>
      <c r="H101" s="12"/>
      <c r="I101" s="9"/>
      <c r="J101" s="9"/>
      <c r="K101" s="9"/>
      <c r="L101" s="9"/>
      <c r="M101" s="9"/>
      <c r="N101" s="9"/>
    </row>
    <row r="102" spans="1:14" x14ac:dyDescent="0.25">
      <c r="A102" s="6">
        <v>88</v>
      </c>
      <c r="B102" s="7">
        <f>INDEX(income!$A$1:$O$142,A102+1,MATCH($B$1,income!$A$1:$O$1,FALSE))*IF($B$4="yes",2,1)</f>
        <v>2627.4</v>
      </c>
      <c r="C102" s="7">
        <f>-playground_helper!N89</f>
        <v>0</v>
      </c>
      <c r="D102" s="7">
        <f t="shared" si="7"/>
        <v>125635.9</v>
      </c>
      <c r="E102" s="7">
        <f t="shared" si="8"/>
        <v>-121635</v>
      </c>
      <c r="F102" s="11">
        <f t="shared" si="6"/>
        <v>4000.8999999999942</v>
      </c>
      <c r="G102" s="15"/>
      <c r="H102" s="12"/>
      <c r="I102" s="9"/>
      <c r="J102" s="9"/>
      <c r="K102" s="9"/>
      <c r="L102" s="9"/>
      <c r="M102" s="9"/>
      <c r="N102" s="9"/>
    </row>
    <row r="103" spans="1:14" x14ac:dyDescent="0.25">
      <c r="A103" s="6">
        <v>89</v>
      </c>
      <c r="B103" s="7">
        <f>INDEX(income!$A$1:$O$142,A103+1,MATCH($B$1,income!$A$1:$O$1,FALSE))*IF($B$4="yes",2,1)</f>
        <v>3314</v>
      </c>
      <c r="C103" s="7">
        <f>-playground_helper!N90</f>
        <v>0</v>
      </c>
      <c r="D103" s="7">
        <f t="shared" si="7"/>
        <v>128949.9</v>
      </c>
      <c r="E103" s="7">
        <f t="shared" si="8"/>
        <v>-121635</v>
      </c>
      <c r="F103" s="11">
        <f t="shared" si="6"/>
        <v>7314.8999999999942</v>
      </c>
      <c r="G103" s="15"/>
      <c r="H103" s="12"/>
      <c r="I103" s="10"/>
      <c r="J103" s="10"/>
      <c r="K103" s="9"/>
      <c r="L103" s="9"/>
      <c r="M103" s="9"/>
      <c r="N103" s="9"/>
    </row>
    <row r="104" spans="1:14" x14ac:dyDescent="0.25">
      <c r="A104" s="6">
        <v>90</v>
      </c>
      <c r="B104" s="7">
        <f>INDEX(income!$A$1:$O$142,A104+1,MATCH($B$1,income!$A$1:$O$1,FALSE))*IF($B$4="yes",2,1)</f>
        <v>2171</v>
      </c>
      <c r="C104" s="7">
        <f>-playground_helper!N91</f>
        <v>0</v>
      </c>
      <c r="D104" s="7">
        <f t="shared" si="7"/>
        <v>131120.9</v>
      </c>
      <c r="E104" s="7">
        <f t="shared" si="8"/>
        <v>-121635</v>
      </c>
      <c r="F104" s="11">
        <f t="shared" si="6"/>
        <v>9485.8999999999942</v>
      </c>
      <c r="G104" s="15"/>
      <c r="H104" s="12"/>
      <c r="I104" s="10"/>
      <c r="J104" s="9"/>
      <c r="K104" s="9"/>
      <c r="L104" s="9"/>
      <c r="M104" s="9"/>
      <c r="N104" s="9"/>
    </row>
    <row r="105" spans="1:14" x14ac:dyDescent="0.25">
      <c r="A105" s="6">
        <v>91</v>
      </c>
      <c r="B105" s="7">
        <f>INDEX(income!$A$1:$O$142,A105+1,MATCH($B$1,income!$A$1:$O$1,FALSE))*IF($B$4="yes",2,1)</f>
        <v>339.3</v>
      </c>
      <c r="C105" s="7">
        <f>-playground_helper!N92</f>
        <v>0</v>
      </c>
      <c r="D105" s="7">
        <f t="shared" si="7"/>
        <v>131460.19999999998</v>
      </c>
      <c r="E105" s="7">
        <f t="shared" si="8"/>
        <v>-121635</v>
      </c>
      <c r="F105" s="11">
        <f t="shared" si="6"/>
        <v>9825.1999999999825</v>
      </c>
      <c r="G105" s="15"/>
      <c r="H105" s="12"/>
      <c r="I105" s="9"/>
      <c r="J105" s="9"/>
      <c r="K105" s="9"/>
      <c r="L105" s="9"/>
      <c r="M105" s="9"/>
      <c r="N105" s="9"/>
    </row>
    <row r="106" spans="1:14" x14ac:dyDescent="0.25">
      <c r="A106" s="6">
        <v>92</v>
      </c>
      <c r="B106" s="7">
        <f>INDEX(income!$A$1:$O$142,A106+1,MATCH($B$1,income!$A$1:$O$1,FALSE))*IF($B$4="yes",2,1)</f>
        <v>4191</v>
      </c>
      <c r="C106" s="7">
        <f>-playground_helper!N93</f>
        <v>0</v>
      </c>
      <c r="D106" s="7">
        <f t="shared" si="7"/>
        <v>135651.19999999998</v>
      </c>
      <c r="E106" s="7">
        <f t="shared" si="8"/>
        <v>-121635</v>
      </c>
      <c r="F106" s="11">
        <f t="shared" si="6"/>
        <v>14016.199999999983</v>
      </c>
      <c r="G106" s="15"/>
      <c r="H106" s="12"/>
      <c r="I106" s="10"/>
      <c r="J106" s="10"/>
      <c r="K106" s="9"/>
      <c r="L106" s="9"/>
      <c r="M106" s="9"/>
      <c r="N106" s="9"/>
    </row>
    <row r="107" spans="1:14" x14ac:dyDescent="0.25">
      <c r="A107" s="6">
        <v>93</v>
      </c>
      <c r="B107" s="7">
        <f>INDEX(income!$A$1:$O$142,A107+1,MATCH($B$1,income!$A$1:$O$1,FALSE))*IF($B$4="yes",2,1)</f>
        <v>4537.3999999999996</v>
      </c>
      <c r="C107" s="7">
        <f>-playground_helper!N94</f>
        <v>0</v>
      </c>
      <c r="D107" s="7">
        <f t="shared" si="7"/>
        <v>140188.59999999998</v>
      </c>
      <c r="E107" s="7">
        <f t="shared" si="8"/>
        <v>-121635</v>
      </c>
      <c r="F107" s="11">
        <f t="shared" si="6"/>
        <v>18553.599999999977</v>
      </c>
      <c r="G107" s="15"/>
      <c r="H107" s="12"/>
      <c r="I107" s="10"/>
      <c r="J107" s="9"/>
      <c r="K107" s="9"/>
      <c r="L107" s="9"/>
      <c r="M107" s="9"/>
      <c r="N107" s="9"/>
    </row>
    <row r="108" spans="1:14" x14ac:dyDescent="0.25">
      <c r="A108" s="6">
        <v>94</v>
      </c>
      <c r="B108" s="7">
        <f>INDEX(income!$A$1:$O$142,A108+1,MATCH($B$1,income!$A$1:$O$1,FALSE))*IF($B$4="yes",2,1)</f>
        <v>1946.6</v>
      </c>
      <c r="C108" s="7">
        <f>-playground_helper!N95</f>
        <v>0</v>
      </c>
      <c r="D108" s="7">
        <f t="shared" si="7"/>
        <v>142135.19999999998</v>
      </c>
      <c r="E108" s="7">
        <f t="shared" si="8"/>
        <v>-121635</v>
      </c>
      <c r="F108" s="11">
        <f t="shared" si="6"/>
        <v>20500.199999999983</v>
      </c>
      <c r="G108" s="15"/>
      <c r="H108" s="12"/>
      <c r="I108" s="10"/>
      <c r="J108" s="9"/>
      <c r="K108" s="9"/>
      <c r="L108" s="9"/>
      <c r="M108" s="9"/>
      <c r="N108" s="9"/>
    </row>
    <row r="109" spans="1:14" x14ac:dyDescent="0.25">
      <c r="A109" s="6">
        <v>95</v>
      </c>
      <c r="B109" s="7">
        <f>INDEX(income!$A$1:$O$142,A109+1,MATCH($B$1,income!$A$1:$O$1,FALSE))*IF($B$4="yes",2,1)</f>
        <v>7667.1</v>
      </c>
      <c r="C109" s="7">
        <f>-playground_helper!N96</f>
        <v>-23220</v>
      </c>
      <c r="D109" s="7">
        <f t="shared" si="7"/>
        <v>149802.29999999999</v>
      </c>
      <c r="E109" s="7">
        <f t="shared" si="8"/>
        <v>-144855</v>
      </c>
      <c r="F109" s="11">
        <f t="shared" si="6"/>
        <v>4947.2999999999884</v>
      </c>
      <c r="G109" s="15"/>
      <c r="H109" s="12" t="s">
        <v>707</v>
      </c>
      <c r="I109" s="10"/>
      <c r="J109" s="9"/>
      <c r="K109" s="9"/>
      <c r="L109" s="9"/>
      <c r="M109" s="9"/>
      <c r="N109" s="9"/>
    </row>
    <row r="110" spans="1:14" x14ac:dyDescent="0.25">
      <c r="A110" s="6">
        <v>96</v>
      </c>
      <c r="B110" s="7">
        <f>INDEX(income!$A$1:$O$142,A110+1,MATCH($B$1,income!$A$1:$O$1,FALSE))*IF($B$4="yes",2,1)</f>
        <v>3718</v>
      </c>
      <c r="C110" s="7">
        <f>-playground_helper!N97</f>
        <v>0</v>
      </c>
      <c r="D110" s="7">
        <f t="shared" si="7"/>
        <v>153520.29999999999</v>
      </c>
      <c r="E110" s="7">
        <f t="shared" si="8"/>
        <v>-144855</v>
      </c>
      <c r="F110" s="11">
        <f t="shared" si="6"/>
        <v>8665.2999999999884</v>
      </c>
      <c r="G110" s="15"/>
      <c r="H110" s="13"/>
      <c r="I110" s="9"/>
      <c r="J110" s="9"/>
      <c r="K110" s="9"/>
      <c r="L110" s="9"/>
      <c r="M110" s="9"/>
      <c r="N110" s="9"/>
    </row>
    <row r="111" spans="1:14" x14ac:dyDescent="0.25">
      <c r="A111" s="6">
        <v>97</v>
      </c>
      <c r="B111" s="7">
        <f>INDEX(income!$A$1:$O$142,A111+1,MATCH($B$1,income!$A$1:$O$1,FALSE))*IF($B$4="yes",2,1)</f>
        <v>9955.6</v>
      </c>
      <c r="C111" s="7">
        <f>-playground_helper!N98</f>
        <v>0</v>
      </c>
      <c r="D111" s="7">
        <f t="shared" si="7"/>
        <v>163475.9</v>
      </c>
      <c r="E111" s="7">
        <f t="shared" si="8"/>
        <v>-144855</v>
      </c>
      <c r="F111" s="11">
        <f t="shared" ref="F111:F142" si="9">SUM(D111:E111)</f>
        <v>18620.899999999994</v>
      </c>
      <c r="G111" s="15"/>
      <c r="H111" s="13"/>
      <c r="I111" s="9"/>
      <c r="J111" s="9"/>
      <c r="K111" s="9"/>
      <c r="L111" s="9"/>
      <c r="M111" s="9"/>
      <c r="N111" s="9"/>
    </row>
    <row r="112" spans="1:14" x14ac:dyDescent="0.25">
      <c r="A112" s="6">
        <v>98</v>
      </c>
      <c r="B112" s="7">
        <f>INDEX(income!$A$1:$O$142,A112+1,MATCH($B$1,income!$A$1:$O$1,FALSE))*IF($B$4="yes",2,1)</f>
        <v>1417.2</v>
      </c>
      <c r="C112" s="7">
        <f>-playground_helper!N99</f>
        <v>0</v>
      </c>
      <c r="D112" s="7">
        <f t="shared" ref="D112:D143" si="10">D111+B112</f>
        <v>164893.1</v>
      </c>
      <c r="E112" s="7">
        <f t="shared" ref="E112:E143" si="11">E111+C112</f>
        <v>-144855</v>
      </c>
      <c r="F112" s="11">
        <f t="shared" si="9"/>
        <v>20038.100000000006</v>
      </c>
      <c r="G112" s="15"/>
      <c r="H112" s="13"/>
      <c r="I112" s="9"/>
      <c r="J112" s="9"/>
      <c r="K112" s="9"/>
      <c r="L112" s="9"/>
      <c r="M112" s="9"/>
      <c r="N112" s="9"/>
    </row>
    <row r="113" spans="1:14" x14ac:dyDescent="0.25">
      <c r="A113" s="6">
        <v>99</v>
      </c>
      <c r="B113" s="7">
        <f>INDEX(income!$A$1:$O$142,A113+1,MATCH($B$1,income!$A$1:$O$1,FALSE))*IF($B$4="yes",2,1)</f>
        <v>9653.7999999999993</v>
      </c>
      <c r="C113" s="7">
        <f>-playground_helper!N100</f>
        <v>-21600</v>
      </c>
      <c r="D113" s="7">
        <f t="shared" si="10"/>
        <v>174546.9</v>
      </c>
      <c r="E113" s="7">
        <f t="shared" si="11"/>
        <v>-166455</v>
      </c>
      <c r="F113" s="11">
        <f t="shared" si="9"/>
        <v>8091.8999999999942</v>
      </c>
      <c r="G113" s="15"/>
      <c r="H113" s="13" t="s">
        <v>723</v>
      </c>
      <c r="I113" s="9"/>
      <c r="J113" s="9"/>
      <c r="K113" s="9"/>
      <c r="L113" s="9"/>
      <c r="M113" s="9"/>
      <c r="N113" s="9"/>
    </row>
    <row r="114" spans="1:14" x14ac:dyDescent="0.25">
      <c r="A114" s="6">
        <v>100</v>
      </c>
      <c r="B114" s="7">
        <f>INDEX(income!$A$1:$O$142,A114+1,MATCH($B$1,income!$A$1:$O$1,FALSE))*IF($B$4="yes",2,1)</f>
        <v>2827.9</v>
      </c>
      <c r="C114" s="7">
        <f>-playground_helper!N101</f>
        <v>0</v>
      </c>
      <c r="D114" s="7">
        <f t="shared" si="10"/>
        <v>177374.8</v>
      </c>
      <c r="E114" s="7">
        <f t="shared" si="11"/>
        <v>-166455</v>
      </c>
      <c r="F114" s="11">
        <f t="shared" si="9"/>
        <v>10919.799999999988</v>
      </c>
      <c r="G114" s="15"/>
      <c r="H114" s="13"/>
      <c r="I114" s="9"/>
      <c r="J114" s="9"/>
      <c r="K114" s="9"/>
      <c r="L114" s="9"/>
      <c r="M114" s="9"/>
      <c r="N114" s="9"/>
    </row>
    <row r="115" spans="1:14" x14ac:dyDescent="0.25">
      <c r="A115" s="6">
        <v>101</v>
      </c>
      <c r="B115" s="7">
        <f>INDEX(income!$A$1:$O$142,A115+1,MATCH($B$1,income!$A$1:$O$1,FALSE))*IF($B$4="yes",2,1)</f>
        <v>1534.6</v>
      </c>
      <c r="C115" s="7">
        <f>-playground_helper!N102</f>
        <v>0</v>
      </c>
      <c r="D115" s="7">
        <f t="shared" si="10"/>
        <v>178909.4</v>
      </c>
      <c r="E115" s="7">
        <f t="shared" si="11"/>
        <v>-166455</v>
      </c>
      <c r="F115" s="11">
        <f t="shared" si="9"/>
        <v>12454.399999999994</v>
      </c>
      <c r="G115" s="15"/>
      <c r="H115" s="13"/>
      <c r="I115" s="9"/>
      <c r="J115" s="9"/>
      <c r="K115" s="9"/>
      <c r="L115" s="9"/>
      <c r="M115" s="9"/>
      <c r="N115" s="9"/>
    </row>
    <row r="116" spans="1:14" x14ac:dyDescent="0.25">
      <c r="A116" s="6">
        <v>102</v>
      </c>
      <c r="B116" s="7">
        <f>INDEX(income!$A$1:$O$142,A116+1,MATCH($B$1,income!$A$1:$O$1,FALSE))*IF($B$4="yes",2,1)</f>
        <v>764</v>
      </c>
      <c r="C116" s="7">
        <f>-playground_helper!N103</f>
        <v>0</v>
      </c>
      <c r="D116" s="7">
        <f t="shared" si="10"/>
        <v>179673.4</v>
      </c>
      <c r="E116" s="7">
        <f t="shared" si="11"/>
        <v>-166455</v>
      </c>
      <c r="F116" s="11">
        <f t="shared" si="9"/>
        <v>13218.399999999994</v>
      </c>
      <c r="G116" s="15"/>
      <c r="H116" s="13"/>
      <c r="I116" s="9"/>
      <c r="J116" s="9"/>
      <c r="K116" s="9"/>
      <c r="L116" s="9"/>
      <c r="M116" s="9"/>
      <c r="N116" s="9"/>
    </row>
    <row r="117" spans="1:14" x14ac:dyDescent="0.25">
      <c r="A117" s="6">
        <v>103</v>
      </c>
      <c r="B117" s="7">
        <f>INDEX(income!$A$1:$O$142,A117+1,MATCH($B$1,income!$A$1:$O$1,FALSE))*IF($B$4="yes",2,1)</f>
        <v>2451.1999999999998</v>
      </c>
      <c r="C117" s="7">
        <f>-playground_helper!N104</f>
        <v>0</v>
      </c>
      <c r="D117" s="7">
        <f t="shared" si="10"/>
        <v>182124.6</v>
      </c>
      <c r="E117" s="7">
        <f t="shared" si="11"/>
        <v>-166455</v>
      </c>
      <c r="F117" s="11">
        <f t="shared" si="9"/>
        <v>15669.600000000006</v>
      </c>
      <c r="G117" s="15"/>
      <c r="H117" s="13"/>
      <c r="I117" s="9"/>
      <c r="J117" s="9"/>
      <c r="K117" s="9"/>
      <c r="L117" s="9"/>
      <c r="M117" s="9"/>
      <c r="N117" s="9"/>
    </row>
    <row r="118" spans="1:14" x14ac:dyDescent="0.25">
      <c r="A118" s="6">
        <v>104</v>
      </c>
      <c r="B118" s="7">
        <f>INDEX(income!$A$1:$O$142,A118+1,MATCH($B$1,income!$A$1:$O$1,FALSE))*IF($B$4="yes",2,1)</f>
        <v>6170.4</v>
      </c>
      <c r="C118" s="7">
        <f>-playground_helper!N105</f>
        <v>0</v>
      </c>
      <c r="D118" s="7">
        <f t="shared" si="10"/>
        <v>188295</v>
      </c>
      <c r="E118" s="7">
        <f t="shared" si="11"/>
        <v>-166455</v>
      </c>
      <c r="F118" s="11">
        <f t="shared" si="9"/>
        <v>21840</v>
      </c>
      <c r="G118" s="15"/>
      <c r="H118" s="13"/>
      <c r="I118" s="9"/>
      <c r="J118" s="9"/>
      <c r="K118" s="9"/>
      <c r="L118" s="9"/>
      <c r="M118" s="9"/>
      <c r="N118" s="9"/>
    </row>
    <row r="119" spans="1:14" x14ac:dyDescent="0.25">
      <c r="A119" s="6">
        <v>105</v>
      </c>
      <c r="B119" s="7">
        <f>INDEX(income!$A$1:$O$142,A119+1,MATCH($B$1,income!$A$1:$O$1,FALSE))*IF($B$4="yes",2,1)</f>
        <v>7591.5</v>
      </c>
      <c r="C119" s="7">
        <f>-playground_helper!N106</f>
        <v>0</v>
      </c>
      <c r="D119" s="7">
        <f t="shared" si="10"/>
        <v>195886.5</v>
      </c>
      <c r="E119" s="7">
        <f t="shared" si="11"/>
        <v>-166455</v>
      </c>
      <c r="F119" s="11">
        <f t="shared" si="9"/>
        <v>29431.5</v>
      </c>
      <c r="G119" s="15"/>
      <c r="H119" s="13"/>
      <c r="I119" s="9"/>
      <c r="J119" s="9"/>
      <c r="K119" s="9"/>
      <c r="L119" s="9"/>
      <c r="M119" s="9"/>
      <c r="N119" s="9"/>
    </row>
    <row r="120" spans="1:14" x14ac:dyDescent="0.25">
      <c r="A120" s="6">
        <v>106</v>
      </c>
      <c r="B120" s="7">
        <f>INDEX(income!$A$1:$O$142,A120+1,MATCH($B$1,income!$A$1:$O$1,FALSE))*IF($B$4="yes",2,1)</f>
        <v>4401.25</v>
      </c>
      <c r="C120" s="7">
        <f>-playground_helper!N107</f>
        <v>0</v>
      </c>
      <c r="D120" s="7">
        <f t="shared" si="10"/>
        <v>200287.75</v>
      </c>
      <c r="E120" s="7">
        <f t="shared" si="11"/>
        <v>-166455</v>
      </c>
      <c r="F120" s="11">
        <f t="shared" si="9"/>
        <v>33832.75</v>
      </c>
      <c r="G120" s="15"/>
      <c r="H120" s="13"/>
      <c r="I120" s="9"/>
      <c r="J120" s="9"/>
      <c r="K120" s="9"/>
      <c r="L120" s="9"/>
      <c r="M120" s="9"/>
      <c r="N120" s="9"/>
    </row>
    <row r="121" spans="1:14" x14ac:dyDescent="0.25">
      <c r="A121" s="6">
        <v>107</v>
      </c>
      <c r="B121" s="7">
        <f>INDEX(income!$A$1:$O$142,A121+1,MATCH($B$1,income!$A$1:$O$1,FALSE))*IF($B$4="yes",2,1)</f>
        <v>1977.65</v>
      </c>
      <c r="C121" s="7">
        <f>-playground_helper!N108</f>
        <v>0</v>
      </c>
      <c r="D121" s="7">
        <f t="shared" si="10"/>
        <v>202265.4</v>
      </c>
      <c r="E121" s="7">
        <f t="shared" si="11"/>
        <v>-166455</v>
      </c>
      <c r="F121" s="11">
        <f t="shared" si="9"/>
        <v>35810.399999999994</v>
      </c>
      <c r="G121" s="15"/>
      <c r="H121" s="13"/>
      <c r="I121" s="9"/>
      <c r="J121" s="9"/>
      <c r="K121" s="9"/>
      <c r="L121" s="9"/>
      <c r="M121" s="9"/>
      <c r="N121" s="9"/>
    </row>
    <row r="122" spans="1:14" x14ac:dyDescent="0.25">
      <c r="A122" s="6">
        <v>108</v>
      </c>
      <c r="B122" s="7">
        <f>INDEX(income!$A$1:$O$142,A122+1,MATCH($B$1,income!$A$1:$O$1,FALSE))*IF($B$4="yes",2,1)</f>
        <v>3865.7</v>
      </c>
      <c r="C122" s="7">
        <f>-playground_helper!N109</f>
        <v>0</v>
      </c>
      <c r="D122" s="7">
        <f t="shared" si="10"/>
        <v>206131.1</v>
      </c>
      <c r="E122" s="7">
        <f t="shared" si="11"/>
        <v>-166455</v>
      </c>
      <c r="F122" s="11">
        <f t="shared" si="9"/>
        <v>39676.100000000006</v>
      </c>
      <c r="G122" s="15"/>
      <c r="H122" s="13"/>
      <c r="I122" s="9"/>
      <c r="J122" s="9"/>
      <c r="K122" s="9"/>
      <c r="L122" s="9"/>
      <c r="M122" s="9"/>
      <c r="N122" s="9"/>
    </row>
    <row r="123" spans="1:14" x14ac:dyDescent="0.25">
      <c r="A123" s="6">
        <v>109</v>
      </c>
      <c r="B123" s="7">
        <f>INDEX(income!$A$1:$O$142,A123+1,MATCH($B$1,income!$A$1:$O$1,FALSE))*IF($B$4="yes",2,1)</f>
        <v>6003.95</v>
      </c>
      <c r="C123" s="7">
        <f>-playground_helper!N110</f>
        <v>0</v>
      </c>
      <c r="D123" s="7">
        <f t="shared" si="10"/>
        <v>212135.05000000002</v>
      </c>
      <c r="E123" s="7">
        <f t="shared" si="11"/>
        <v>-166455</v>
      </c>
      <c r="F123" s="11">
        <f t="shared" si="9"/>
        <v>45680.050000000017</v>
      </c>
      <c r="G123" s="15"/>
      <c r="H123" s="13"/>
      <c r="I123" s="9"/>
      <c r="J123" s="9"/>
      <c r="K123" s="9"/>
      <c r="L123" s="9"/>
      <c r="M123" s="9"/>
      <c r="N123" s="9"/>
    </row>
    <row r="124" spans="1:14" x14ac:dyDescent="0.25">
      <c r="A124" s="6">
        <v>110</v>
      </c>
      <c r="B124" s="7">
        <f>INDEX(income!$A$1:$O$142,A124+1,MATCH($B$1,income!$A$1:$O$1,FALSE))*IF($B$4="yes",2,1)</f>
        <v>7648.25</v>
      </c>
      <c r="C124" s="7">
        <f>-playground_helper!N111</f>
        <v>0</v>
      </c>
      <c r="D124" s="7">
        <f t="shared" si="10"/>
        <v>219783.30000000002</v>
      </c>
      <c r="E124" s="7">
        <f t="shared" si="11"/>
        <v>-166455</v>
      </c>
      <c r="F124" s="11">
        <f t="shared" si="9"/>
        <v>53328.300000000017</v>
      </c>
      <c r="G124" s="15"/>
      <c r="H124" s="13"/>
      <c r="I124" s="9"/>
      <c r="J124" s="9"/>
      <c r="K124" s="9"/>
      <c r="L124" s="9"/>
      <c r="M124" s="9"/>
      <c r="N124" s="9"/>
    </row>
    <row r="125" spans="1:14" x14ac:dyDescent="0.25">
      <c r="A125" s="6">
        <v>111</v>
      </c>
      <c r="B125" s="7">
        <f>INDEX(income!$A$1:$O$142,A125+1,MATCH($B$1,income!$A$1:$O$1,FALSE))*IF($B$4="yes",2,1)</f>
        <v>2687.75</v>
      </c>
      <c r="C125" s="7">
        <f>-playground_helper!N112</f>
        <v>0</v>
      </c>
      <c r="D125" s="7">
        <f t="shared" si="10"/>
        <v>222471.05000000002</v>
      </c>
      <c r="E125" s="7">
        <f t="shared" si="11"/>
        <v>-166455</v>
      </c>
      <c r="F125" s="11">
        <f t="shared" si="9"/>
        <v>56016.050000000017</v>
      </c>
      <c r="G125" s="15"/>
      <c r="H125" s="13"/>
      <c r="I125" s="9"/>
      <c r="J125" s="9"/>
      <c r="K125" s="9"/>
      <c r="L125" s="9"/>
      <c r="M125" s="9"/>
      <c r="N125" s="9"/>
    </row>
    <row r="126" spans="1:14" x14ac:dyDescent="0.25">
      <c r="A126" s="6">
        <v>112</v>
      </c>
      <c r="B126" s="7">
        <f>INDEX(income!$A$1:$O$142,A126+1,MATCH($B$1,income!$A$1:$O$1,FALSE))*IF($B$4="yes",2,1)</f>
        <v>9667.5499999999993</v>
      </c>
      <c r="C126" s="7">
        <f>-playground_helper!N113</f>
        <v>0</v>
      </c>
      <c r="D126" s="7">
        <f t="shared" si="10"/>
        <v>232138.6</v>
      </c>
      <c r="E126" s="7">
        <f t="shared" si="11"/>
        <v>-166455</v>
      </c>
      <c r="F126" s="11">
        <f t="shared" si="9"/>
        <v>65683.600000000006</v>
      </c>
      <c r="G126" s="15"/>
      <c r="H126" s="13"/>
      <c r="I126" s="9"/>
      <c r="J126" s="9"/>
      <c r="K126" s="9"/>
      <c r="L126" s="9"/>
      <c r="M126" s="9"/>
      <c r="N126" s="9"/>
    </row>
    <row r="127" spans="1:14" x14ac:dyDescent="0.25">
      <c r="A127" s="6">
        <v>113</v>
      </c>
      <c r="B127" s="7">
        <f>INDEX(income!$A$1:$O$142,A127+1,MATCH($B$1,income!$A$1:$O$1,FALSE))*IF($B$4="yes",2,1)</f>
        <v>2670.8</v>
      </c>
      <c r="C127" s="7">
        <f>-playground_helper!N114</f>
        <v>0</v>
      </c>
      <c r="D127" s="7">
        <f t="shared" si="10"/>
        <v>234809.4</v>
      </c>
      <c r="E127" s="7">
        <f t="shared" si="11"/>
        <v>-166455</v>
      </c>
      <c r="F127" s="11">
        <f t="shared" si="9"/>
        <v>68354.399999999994</v>
      </c>
      <c r="G127" s="15"/>
      <c r="H127" s="13"/>
      <c r="I127" s="9"/>
      <c r="J127" s="9"/>
      <c r="K127" s="9"/>
      <c r="L127" s="9"/>
      <c r="M127" s="9"/>
      <c r="N127" s="9"/>
    </row>
    <row r="128" spans="1:14" x14ac:dyDescent="0.25">
      <c r="A128" s="6">
        <v>114</v>
      </c>
      <c r="B128" s="7">
        <f>INDEX(income!$A$1:$O$142,A128+1,MATCH($B$1,income!$A$1:$O$1,FALSE))*IF($B$4="yes",2,1)</f>
        <v>3184.5</v>
      </c>
      <c r="C128" s="7">
        <f>-playground_helper!N115</f>
        <v>0</v>
      </c>
      <c r="D128" s="7">
        <f t="shared" si="10"/>
        <v>237993.9</v>
      </c>
      <c r="E128" s="7">
        <f t="shared" si="11"/>
        <v>-166455</v>
      </c>
      <c r="F128" s="11">
        <f t="shared" si="9"/>
        <v>71538.899999999994</v>
      </c>
      <c r="G128" s="15"/>
      <c r="H128" s="13"/>
      <c r="I128" s="9"/>
      <c r="J128" s="9"/>
      <c r="K128" s="9"/>
      <c r="L128" s="9"/>
      <c r="M128" s="9"/>
      <c r="N128" s="9"/>
    </row>
    <row r="129" spans="1:14" x14ac:dyDescent="0.25">
      <c r="A129" s="6">
        <v>115</v>
      </c>
      <c r="B129" s="7">
        <f>INDEX(income!$A$1:$O$142,A129+1,MATCH($B$1,income!$A$1:$O$1,FALSE))*IF($B$4="yes",2,1)</f>
        <v>5608.15</v>
      </c>
      <c r="C129" s="7">
        <f>-playground_helper!N116</f>
        <v>0</v>
      </c>
      <c r="D129" s="7">
        <f t="shared" si="10"/>
        <v>243602.05</v>
      </c>
      <c r="E129" s="7">
        <f t="shared" si="11"/>
        <v>-166455</v>
      </c>
      <c r="F129" s="11">
        <f t="shared" si="9"/>
        <v>77147.049999999988</v>
      </c>
      <c r="G129" s="15"/>
      <c r="H129" s="13"/>
      <c r="I129" s="9"/>
      <c r="J129" s="9"/>
      <c r="K129" s="9"/>
      <c r="L129" s="9"/>
      <c r="M129" s="9"/>
      <c r="N129" s="9"/>
    </row>
    <row r="130" spans="1:14" x14ac:dyDescent="0.25">
      <c r="A130" s="6">
        <v>116</v>
      </c>
      <c r="B130" s="7">
        <f>INDEX(income!$A$1:$O$142,A130+1,MATCH($B$1,income!$A$1:$O$1,FALSE))*IF($B$4="yes",2,1)</f>
        <v>5609.15</v>
      </c>
      <c r="C130" s="7">
        <f>-playground_helper!N117</f>
        <v>0</v>
      </c>
      <c r="D130" s="7">
        <f t="shared" si="10"/>
        <v>249211.19999999998</v>
      </c>
      <c r="E130" s="7">
        <f t="shared" si="11"/>
        <v>-166455</v>
      </c>
      <c r="F130" s="11">
        <f t="shared" si="9"/>
        <v>82756.199999999983</v>
      </c>
      <c r="G130" s="15"/>
      <c r="H130" s="13"/>
      <c r="I130" s="9"/>
      <c r="J130" s="9"/>
      <c r="K130" s="9"/>
      <c r="L130" s="9"/>
      <c r="M130" s="9"/>
      <c r="N130" s="9"/>
    </row>
    <row r="131" spans="1:14" x14ac:dyDescent="0.25">
      <c r="A131" s="6">
        <v>117</v>
      </c>
      <c r="B131" s="7">
        <f>INDEX(income!$A$1:$O$142,A131+1,MATCH($B$1,income!$A$1:$O$1,FALSE))*IF($B$4="yes",2,1)</f>
        <v>4148.8999999999996</v>
      </c>
      <c r="C131" s="7">
        <f>-playground_helper!N118</f>
        <v>0</v>
      </c>
      <c r="D131" s="7">
        <f t="shared" si="10"/>
        <v>253360.09999999998</v>
      </c>
      <c r="E131" s="7">
        <f t="shared" si="11"/>
        <v>-166455</v>
      </c>
      <c r="F131" s="11">
        <f t="shared" si="9"/>
        <v>86905.099999999977</v>
      </c>
      <c r="G131" s="15"/>
      <c r="H131" s="13"/>
      <c r="I131" s="9"/>
      <c r="J131" s="9"/>
      <c r="K131" s="9"/>
      <c r="L131" s="9"/>
      <c r="M131" s="9"/>
      <c r="N131" s="9"/>
    </row>
    <row r="132" spans="1:14" x14ac:dyDescent="0.25">
      <c r="A132" s="6">
        <v>118</v>
      </c>
      <c r="B132" s="7">
        <f>INDEX(income!$A$1:$O$142,A132+1,MATCH($B$1,income!$A$1:$O$1,FALSE))*IF($B$4="yes",2,1)</f>
        <v>1161.75</v>
      </c>
      <c r="C132" s="7">
        <f>-playground_helper!N119</f>
        <v>0</v>
      </c>
      <c r="D132" s="7">
        <f t="shared" si="10"/>
        <v>254521.84999999998</v>
      </c>
      <c r="E132" s="7">
        <f t="shared" si="11"/>
        <v>-166455</v>
      </c>
      <c r="F132" s="11">
        <f t="shared" si="9"/>
        <v>88066.849999999977</v>
      </c>
      <c r="G132" s="15"/>
      <c r="H132" s="13"/>
      <c r="I132" s="9"/>
      <c r="J132" s="9"/>
      <c r="K132" s="9"/>
      <c r="L132" s="9"/>
      <c r="M132" s="9"/>
      <c r="N132" s="9"/>
    </row>
    <row r="133" spans="1:14" x14ac:dyDescent="0.25">
      <c r="A133" s="6">
        <v>119</v>
      </c>
      <c r="B133" s="7">
        <f>INDEX(income!$A$1:$O$142,A133+1,MATCH($B$1,income!$A$1:$O$1,FALSE))*IF($B$4="yes",2,1)</f>
        <v>4450.1000000000004</v>
      </c>
      <c r="C133" s="7">
        <f>-playground_helper!N120</f>
        <v>0</v>
      </c>
      <c r="D133" s="7">
        <f t="shared" si="10"/>
        <v>258971.94999999998</v>
      </c>
      <c r="E133" s="7">
        <f t="shared" si="11"/>
        <v>-166455</v>
      </c>
      <c r="F133" s="11">
        <f t="shared" si="9"/>
        <v>92516.949999999983</v>
      </c>
      <c r="G133" s="15"/>
      <c r="H133" s="13"/>
      <c r="I133" s="9"/>
      <c r="J133" s="9"/>
      <c r="K133" s="9"/>
      <c r="L133" s="9"/>
      <c r="M133" s="9"/>
      <c r="N133" s="9"/>
    </row>
    <row r="134" spans="1:14" x14ac:dyDescent="0.25">
      <c r="A134" s="6">
        <v>120</v>
      </c>
      <c r="B134" s="7">
        <f>INDEX(income!$A$1:$O$142,A134+1,MATCH($B$1,income!$A$1:$O$1,FALSE))*IF($B$4="yes",2,1)</f>
        <v>2220.9</v>
      </c>
      <c r="C134" s="7">
        <f>-playground_helper!N121</f>
        <v>0</v>
      </c>
      <c r="D134" s="7">
        <f t="shared" si="10"/>
        <v>261192.84999999998</v>
      </c>
      <c r="E134" s="7">
        <f t="shared" si="11"/>
        <v>-166455</v>
      </c>
      <c r="F134" s="11">
        <f t="shared" si="9"/>
        <v>94737.849999999977</v>
      </c>
      <c r="G134" s="15"/>
      <c r="H134" s="13"/>
      <c r="I134" s="9"/>
      <c r="J134" s="9"/>
      <c r="K134" s="9"/>
      <c r="L134" s="9"/>
      <c r="M134" s="9"/>
      <c r="N134" s="9"/>
    </row>
    <row r="135" spans="1:14" x14ac:dyDescent="0.25">
      <c r="A135" s="6">
        <v>121</v>
      </c>
      <c r="B135" s="7">
        <f>INDEX(income!$A$1:$O$142,A135+1,MATCH($B$1,income!$A$1:$O$1,FALSE))*IF($B$4="yes",2,1)</f>
        <v>5252.8</v>
      </c>
      <c r="C135" s="7">
        <f>-playground_helper!N122</f>
        <v>0</v>
      </c>
      <c r="D135" s="7">
        <f t="shared" si="10"/>
        <v>266445.64999999997</v>
      </c>
      <c r="E135" s="7">
        <f t="shared" si="11"/>
        <v>-166455</v>
      </c>
      <c r="F135" s="11">
        <f t="shared" si="9"/>
        <v>99990.649999999965</v>
      </c>
      <c r="G135" s="15"/>
      <c r="H135" s="13"/>
      <c r="I135" s="9"/>
      <c r="J135" s="9"/>
      <c r="K135" s="9"/>
      <c r="L135" s="9"/>
      <c r="M135" s="9"/>
      <c r="N135" s="9"/>
    </row>
    <row r="136" spans="1:14" x14ac:dyDescent="0.25">
      <c r="A136" s="6">
        <v>122</v>
      </c>
      <c r="B136" s="7">
        <f>INDEX(income!$A$1:$O$142,A136+1,MATCH($B$1,income!$A$1:$O$1,FALSE))*IF($B$4="yes",2,1)</f>
        <v>1593.48</v>
      </c>
      <c r="C136" s="7">
        <f>-playground_helper!N123</f>
        <v>0</v>
      </c>
      <c r="D136" s="7">
        <f t="shared" si="10"/>
        <v>268039.12999999995</v>
      </c>
      <c r="E136" s="7">
        <f t="shared" si="11"/>
        <v>-166455</v>
      </c>
      <c r="F136" s="11">
        <f t="shared" si="9"/>
        <v>101584.12999999995</v>
      </c>
      <c r="G136" s="15"/>
      <c r="H136" s="13"/>
      <c r="I136" s="9"/>
      <c r="J136" s="9"/>
      <c r="K136" s="9"/>
      <c r="L136" s="9"/>
      <c r="M136" s="9"/>
      <c r="N136" s="9"/>
    </row>
    <row r="137" spans="1:14" x14ac:dyDescent="0.25">
      <c r="A137" s="6">
        <v>123</v>
      </c>
      <c r="B137" s="7">
        <f>INDEX(income!$A$1:$O$142,A137+1,MATCH($B$1,income!$A$1:$O$1,FALSE))*IF($B$4="yes",2,1)</f>
        <v>2083.5</v>
      </c>
      <c r="C137" s="7">
        <f>-playground_helper!N124</f>
        <v>0</v>
      </c>
      <c r="D137" s="7">
        <f t="shared" si="10"/>
        <v>270122.62999999995</v>
      </c>
      <c r="E137" s="7">
        <f t="shared" si="11"/>
        <v>-166455</v>
      </c>
      <c r="F137" s="11">
        <f t="shared" si="9"/>
        <v>103667.62999999995</v>
      </c>
      <c r="G137" s="15"/>
      <c r="H137" s="13"/>
      <c r="I137" s="9"/>
      <c r="J137" s="9"/>
      <c r="K137" s="9"/>
      <c r="L137" s="9"/>
      <c r="M137" s="9"/>
      <c r="N137" s="9"/>
    </row>
    <row r="138" spans="1:14" x14ac:dyDescent="0.25">
      <c r="A138" s="6">
        <v>124</v>
      </c>
      <c r="B138" s="7">
        <f>INDEX(income!$A$1:$O$142,A138+1,MATCH($B$1,income!$A$1:$O$1,FALSE))*IF($B$4="yes",2,1)</f>
        <v>2723.16</v>
      </c>
      <c r="C138" s="7">
        <f>-playground_helper!N125</f>
        <v>0</v>
      </c>
      <c r="D138" s="7">
        <f t="shared" si="10"/>
        <v>272845.78999999992</v>
      </c>
      <c r="E138" s="7">
        <f t="shared" si="11"/>
        <v>-166455</v>
      </c>
      <c r="F138" s="11">
        <f t="shared" si="9"/>
        <v>106390.78999999992</v>
      </c>
      <c r="G138" s="15"/>
      <c r="H138" s="13"/>
      <c r="I138" s="9"/>
      <c r="J138" s="9"/>
      <c r="K138" s="9"/>
      <c r="L138" s="9"/>
      <c r="M138" s="9"/>
      <c r="N138" s="9"/>
    </row>
    <row r="139" spans="1:14" x14ac:dyDescent="0.25">
      <c r="A139" s="6">
        <v>125</v>
      </c>
      <c r="B139" s="7">
        <f>INDEX(income!$A$1:$O$142,A139+1,MATCH($B$1,income!$A$1:$O$1,FALSE))*IF($B$4="yes",2,1)</f>
        <v>2511.5</v>
      </c>
      <c r="C139" s="7">
        <f>-playground_helper!N126</f>
        <v>0</v>
      </c>
      <c r="D139" s="7">
        <f t="shared" si="10"/>
        <v>275357.28999999992</v>
      </c>
      <c r="E139" s="7">
        <f t="shared" si="11"/>
        <v>-166455</v>
      </c>
      <c r="F139" s="11">
        <f t="shared" si="9"/>
        <v>108902.28999999992</v>
      </c>
      <c r="G139" s="15"/>
      <c r="H139" s="13"/>
      <c r="I139" s="9"/>
      <c r="J139" s="9"/>
      <c r="K139" s="9"/>
      <c r="L139" s="9"/>
      <c r="M139" s="9"/>
      <c r="N139" s="9"/>
    </row>
    <row r="140" spans="1:14" x14ac:dyDescent="0.25">
      <c r="A140" s="6">
        <v>126</v>
      </c>
      <c r="B140" s="7">
        <f>INDEX(income!$A$1:$O$142,A140+1,MATCH($B$1,income!$A$1:$O$1,FALSE))*IF($B$4="yes",2,1)</f>
        <v>4548.4799999999996</v>
      </c>
      <c r="C140" s="7">
        <f>-playground_helper!N127</f>
        <v>0</v>
      </c>
      <c r="D140" s="7">
        <f t="shared" si="10"/>
        <v>279905.7699999999</v>
      </c>
      <c r="E140" s="7">
        <f t="shared" si="11"/>
        <v>-166455</v>
      </c>
      <c r="F140" s="11">
        <f t="shared" si="9"/>
        <v>113450.7699999999</v>
      </c>
      <c r="G140" s="15"/>
      <c r="H140" s="13"/>
      <c r="I140" s="9"/>
      <c r="J140" s="9"/>
      <c r="K140" s="9"/>
      <c r="L140" s="9"/>
      <c r="M140" s="9"/>
      <c r="N140" s="9"/>
    </row>
    <row r="141" spans="1:14" x14ac:dyDescent="0.25">
      <c r="A141" s="6">
        <v>127</v>
      </c>
      <c r="B141" s="7">
        <f>INDEX(income!$A$1:$O$142,A141+1,MATCH($B$1,income!$A$1:$O$1,FALSE))*IF($B$4="yes",2,1)</f>
        <v>980.52</v>
      </c>
      <c r="C141" s="7">
        <f>-playground_helper!N128</f>
        <v>0</v>
      </c>
      <c r="D141" s="7">
        <f t="shared" si="10"/>
        <v>280886.28999999992</v>
      </c>
      <c r="E141" s="7">
        <f t="shared" si="11"/>
        <v>-166455</v>
      </c>
      <c r="F141" s="11">
        <f t="shared" si="9"/>
        <v>114431.28999999992</v>
      </c>
      <c r="G141" s="15"/>
      <c r="H141" s="13"/>
      <c r="I141" s="9"/>
      <c r="J141" s="9"/>
      <c r="K141" s="9"/>
      <c r="L141" s="9"/>
      <c r="M141" s="9"/>
      <c r="N141" s="9"/>
    </row>
    <row r="142" spans="1:14" x14ac:dyDescent="0.25">
      <c r="A142" s="6">
        <v>128</v>
      </c>
      <c r="B142" s="7">
        <f>INDEX(income!$A$1:$O$142,A142+1,MATCH($B$1,income!$A$1:$O$1,FALSE))*IF($B$4="yes",2,1)</f>
        <v>1324.76</v>
      </c>
      <c r="C142" s="7">
        <f>-playground_helper!N129</f>
        <v>0</v>
      </c>
      <c r="D142" s="7">
        <f t="shared" si="10"/>
        <v>282211.04999999993</v>
      </c>
      <c r="E142" s="7">
        <f t="shared" si="11"/>
        <v>-166455</v>
      </c>
      <c r="F142" s="11">
        <f t="shared" si="9"/>
        <v>115756.04999999993</v>
      </c>
      <c r="G142" s="15"/>
      <c r="H142" s="13"/>
      <c r="I142" s="9"/>
      <c r="J142" s="9"/>
      <c r="K142" s="9"/>
      <c r="L142" s="9"/>
      <c r="M142" s="9"/>
      <c r="N142" s="9"/>
    </row>
    <row r="143" spans="1:14" x14ac:dyDescent="0.25">
      <c r="A143" s="6">
        <v>129</v>
      </c>
      <c r="B143" s="7">
        <f>INDEX(income!$A$1:$O$142,A143+1,MATCH($B$1,income!$A$1:$O$1,FALSE))*IF($B$4="yes",2,1)</f>
        <v>1820.18</v>
      </c>
      <c r="C143" s="7">
        <f>-playground_helper!N130</f>
        <v>0</v>
      </c>
      <c r="D143" s="7">
        <f t="shared" si="10"/>
        <v>284031.22999999992</v>
      </c>
      <c r="E143" s="7">
        <f t="shared" si="11"/>
        <v>-166455</v>
      </c>
      <c r="F143" s="11">
        <f t="shared" ref="F143:F155" si="12">SUM(D143:E143)</f>
        <v>117576.22999999992</v>
      </c>
      <c r="G143" s="15"/>
      <c r="H143" s="13"/>
      <c r="I143" s="9"/>
      <c r="J143" s="9"/>
      <c r="K143" s="9"/>
      <c r="L143" s="9"/>
      <c r="M143" s="9"/>
      <c r="N143" s="9"/>
    </row>
    <row r="144" spans="1:14" x14ac:dyDescent="0.25">
      <c r="A144" s="6">
        <v>130</v>
      </c>
      <c r="B144" s="7">
        <f>INDEX(income!$A$1:$O$142,A144+1,MATCH($B$1,income!$A$1:$O$1,FALSE))*IF($B$4="yes",2,1)</f>
        <v>2240.7600000000002</v>
      </c>
      <c r="C144" s="7">
        <f>-playground_helper!N131</f>
        <v>0</v>
      </c>
      <c r="D144" s="7">
        <f t="shared" ref="D144:D155" si="13">D143+B144</f>
        <v>286271.98999999993</v>
      </c>
      <c r="E144" s="7">
        <f t="shared" ref="E144:E155" si="14">E143+C144</f>
        <v>-166455</v>
      </c>
      <c r="F144" s="11">
        <f t="shared" si="12"/>
        <v>119816.98999999993</v>
      </c>
      <c r="G144" s="15"/>
      <c r="H144" s="13"/>
      <c r="I144" s="9"/>
      <c r="J144" s="9"/>
      <c r="K144" s="9"/>
      <c r="L144" s="9"/>
      <c r="M144" s="9"/>
      <c r="N144" s="9"/>
    </row>
    <row r="145" spans="1:14" x14ac:dyDescent="0.25">
      <c r="A145" s="6">
        <v>131</v>
      </c>
      <c r="B145" s="7">
        <f>INDEX(income!$A$1:$O$142,A145+1,MATCH($B$1,income!$A$1:$O$1,FALSE))*IF($B$4="yes",2,1)</f>
        <v>1784.48</v>
      </c>
      <c r="C145" s="7">
        <f>-playground_helper!N132</f>
        <v>0</v>
      </c>
      <c r="D145" s="7">
        <f t="shared" si="13"/>
        <v>288056.46999999991</v>
      </c>
      <c r="E145" s="7">
        <f t="shared" si="14"/>
        <v>-166455</v>
      </c>
      <c r="F145" s="11">
        <f t="shared" si="12"/>
        <v>121601.46999999991</v>
      </c>
      <c r="G145" s="15"/>
      <c r="H145" s="13"/>
      <c r="I145" s="9"/>
      <c r="J145" s="9"/>
      <c r="K145" s="9"/>
      <c r="L145" s="9"/>
      <c r="M145" s="9"/>
      <c r="N145" s="9"/>
    </row>
    <row r="146" spans="1:14" x14ac:dyDescent="0.25">
      <c r="A146" s="6">
        <v>132</v>
      </c>
      <c r="B146" s="7">
        <f>INDEX(income!$A$1:$O$142,A146+1,MATCH($B$1,income!$A$1:$O$1,FALSE))*IF($B$4="yes",2,1)</f>
        <v>2427.36</v>
      </c>
      <c r="C146" s="7">
        <f>-playground_helper!N133</f>
        <v>0</v>
      </c>
      <c r="D146" s="7">
        <f t="shared" si="13"/>
        <v>290483.8299999999</v>
      </c>
      <c r="E146" s="7">
        <f t="shared" si="14"/>
        <v>-166455</v>
      </c>
      <c r="F146" s="11">
        <f t="shared" si="12"/>
        <v>124028.8299999999</v>
      </c>
      <c r="G146" s="15"/>
      <c r="H146" s="13"/>
      <c r="I146" s="9"/>
      <c r="J146" s="9"/>
      <c r="K146" s="9"/>
      <c r="L146" s="9"/>
      <c r="M146" s="9"/>
      <c r="N146" s="9"/>
    </row>
    <row r="147" spans="1:14" x14ac:dyDescent="0.25">
      <c r="A147" s="6">
        <v>133</v>
      </c>
      <c r="B147" s="7">
        <f>INDEX(income!$A$1:$O$142,A147+1,MATCH($B$1,income!$A$1:$O$1,FALSE))*IF($B$4="yes",2,1)</f>
        <v>3184.48</v>
      </c>
      <c r="C147" s="7">
        <f>-playground_helper!N134</f>
        <v>0</v>
      </c>
      <c r="D147" s="7">
        <f t="shared" si="13"/>
        <v>293668.30999999988</v>
      </c>
      <c r="E147" s="7">
        <f t="shared" si="14"/>
        <v>-166455</v>
      </c>
      <c r="F147" s="11">
        <f t="shared" si="12"/>
        <v>127213.30999999988</v>
      </c>
      <c r="G147" s="15"/>
      <c r="H147" s="13"/>
      <c r="I147" s="9"/>
      <c r="J147" s="9"/>
      <c r="K147" s="9"/>
      <c r="L147" s="9"/>
      <c r="M147" s="9"/>
      <c r="N147" s="9"/>
    </row>
    <row r="148" spans="1:14" x14ac:dyDescent="0.25">
      <c r="A148" s="6">
        <v>134</v>
      </c>
      <c r="B148" s="7">
        <f>INDEX(income!$A$1:$O$142,A148+1,MATCH($B$1,income!$A$1:$O$1,FALSE))*IF($B$4="yes",2,1)</f>
        <v>3305.94</v>
      </c>
      <c r="C148" s="7">
        <f>-playground_helper!N135</f>
        <v>0</v>
      </c>
      <c r="D148" s="7">
        <f t="shared" si="13"/>
        <v>296974.24999999988</v>
      </c>
      <c r="E148" s="7">
        <f t="shared" si="14"/>
        <v>-166455</v>
      </c>
      <c r="F148" s="11">
        <f t="shared" si="12"/>
        <v>130519.24999999988</v>
      </c>
      <c r="G148" s="15"/>
      <c r="H148" s="13"/>
      <c r="I148" s="9"/>
      <c r="J148" s="9"/>
      <c r="K148" s="9"/>
      <c r="L148" s="9"/>
      <c r="M148" s="9"/>
      <c r="N148" s="9"/>
    </row>
    <row r="149" spans="1:14" x14ac:dyDescent="0.25">
      <c r="A149" s="6">
        <v>135</v>
      </c>
      <c r="B149" s="7">
        <f>INDEX(income!$A$1:$O$142,A149+1,MATCH($B$1,income!$A$1:$O$1,FALSE))*IF($B$4="yes",2,1)</f>
        <v>1454</v>
      </c>
      <c r="C149" s="7">
        <f>-playground_helper!N136</f>
        <v>0</v>
      </c>
      <c r="D149" s="7">
        <f t="shared" si="13"/>
        <v>298428.24999999988</v>
      </c>
      <c r="E149" s="7">
        <f t="shared" si="14"/>
        <v>-166455</v>
      </c>
      <c r="F149" s="11">
        <f t="shared" si="12"/>
        <v>131973.24999999988</v>
      </c>
      <c r="G149" s="15"/>
      <c r="H149" s="13"/>
      <c r="I149" s="9"/>
      <c r="J149" s="9"/>
      <c r="K149" s="9"/>
      <c r="L149" s="9"/>
      <c r="M149" s="9"/>
      <c r="N149" s="9"/>
    </row>
    <row r="150" spans="1:14" x14ac:dyDescent="0.25">
      <c r="A150" s="6">
        <v>136</v>
      </c>
      <c r="B150" s="7">
        <f>INDEX(income!$A$1:$O$142,A150+1,MATCH($B$1,income!$A$1:$O$1,FALSE))*IF($B$4="yes",2,1)</f>
        <v>2103.3000000000002</v>
      </c>
      <c r="C150" s="7">
        <f>-playground_helper!N137</f>
        <v>0</v>
      </c>
      <c r="D150" s="7">
        <f t="shared" si="13"/>
        <v>300531.54999999987</v>
      </c>
      <c r="E150" s="7">
        <f t="shared" si="14"/>
        <v>-166455</v>
      </c>
      <c r="F150" s="11">
        <f t="shared" si="12"/>
        <v>134076.54999999987</v>
      </c>
      <c r="G150" s="15"/>
      <c r="H150" s="13"/>
      <c r="I150" s="9"/>
      <c r="J150" s="9"/>
      <c r="K150" s="9"/>
      <c r="L150" s="9"/>
      <c r="M150" s="9"/>
      <c r="N150" s="9"/>
    </row>
    <row r="151" spans="1:14" x14ac:dyDescent="0.25">
      <c r="A151" s="6">
        <v>137</v>
      </c>
      <c r="B151" s="7">
        <f>INDEX(income!$A$1:$O$142,A151+1,MATCH($B$1,income!$A$1:$O$1,FALSE))*IF($B$4="yes",2,1)</f>
        <v>1699.52</v>
      </c>
      <c r="C151" s="7">
        <f>-playground_helper!N138</f>
        <v>0</v>
      </c>
      <c r="D151" s="7">
        <f t="shared" si="13"/>
        <v>302231.06999999989</v>
      </c>
      <c r="E151" s="7">
        <f t="shared" si="14"/>
        <v>-166455</v>
      </c>
      <c r="F151" s="11">
        <f t="shared" si="12"/>
        <v>135776.06999999989</v>
      </c>
      <c r="G151" s="15"/>
      <c r="H151" s="13"/>
      <c r="I151" s="9"/>
      <c r="J151" s="9"/>
      <c r="K151" s="9"/>
      <c r="L151" s="9"/>
      <c r="M151" s="9"/>
      <c r="N151" s="9"/>
    </row>
    <row r="152" spans="1:14" x14ac:dyDescent="0.25">
      <c r="A152" s="6">
        <v>138</v>
      </c>
      <c r="B152" s="7">
        <f>INDEX(income!$A$1:$O$142,A152+1,MATCH($B$1,income!$A$1:$O$1,FALSE))*IF($B$4="yes",2,1)</f>
        <v>3531.12</v>
      </c>
      <c r="C152" s="7">
        <f>-playground_helper!N139</f>
        <v>0</v>
      </c>
      <c r="D152" s="7">
        <f t="shared" si="13"/>
        <v>305762.18999999989</v>
      </c>
      <c r="E152" s="7">
        <f t="shared" si="14"/>
        <v>-166455</v>
      </c>
      <c r="F152" s="11">
        <f t="shared" si="12"/>
        <v>139307.18999999989</v>
      </c>
      <c r="G152" s="15"/>
      <c r="H152" s="13"/>
      <c r="I152" s="9"/>
      <c r="J152" s="9"/>
      <c r="K152" s="9"/>
      <c r="L152" s="9"/>
      <c r="M152" s="9"/>
      <c r="N152" s="9"/>
    </row>
    <row r="153" spans="1:14" x14ac:dyDescent="0.25">
      <c r="A153" s="6">
        <v>139</v>
      </c>
      <c r="B153" s="7">
        <f>INDEX(income!$A$1:$O$142,A153+1,MATCH($B$1,income!$A$1:$O$1,FALSE))*IF($B$4="yes",2,1)</f>
        <v>1198.1199999999999</v>
      </c>
      <c r="C153" s="7">
        <f>-playground_helper!N140</f>
        <v>0</v>
      </c>
      <c r="D153" s="7">
        <f t="shared" si="13"/>
        <v>306960.30999999988</v>
      </c>
      <c r="E153" s="7">
        <f t="shared" si="14"/>
        <v>-166455</v>
      </c>
      <c r="F153" s="11">
        <f t="shared" si="12"/>
        <v>140505.30999999988</v>
      </c>
      <c r="G153" s="15"/>
      <c r="H153" s="13"/>
      <c r="I153" s="9"/>
      <c r="J153" s="9"/>
      <c r="K153" s="9"/>
      <c r="L153" s="9"/>
      <c r="M153" s="9"/>
      <c r="N153" s="9"/>
    </row>
    <row r="154" spans="1:14" x14ac:dyDescent="0.25">
      <c r="A154" s="6">
        <v>140</v>
      </c>
      <c r="B154" s="7">
        <f>INDEX(income!$A$1:$O$142,A154+1,MATCH($B$1,income!$A$1:$O$1,FALSE))*IF($B$4="yes",2,1)</f>
        <v>2166.86</v>
      </c>
      <c r="C154" s="7">
        <f>-playground_helper!N141</f>
        <v>0</v>
      </c>
      <c r="D154" s="7">
        <f t="shared" si="13"/>
        <v>309127.16999999987</v>
      </c>
      <c r="E154" s="7">
        <f t="shared" si="14"/>
        <v>-166455</v>
      </c>
      <c r="F154" s="11">
        <f t="shared" si="12"/>
        <v>142672.16999999987</v>
      </c>
      <c r="G154" s="15"/>
      <c r="H154" s="13"/>
      <c r="I154" s="9"/>
      <c r="J154" s="9"/>
      <c r="K154" s="9"/>
      <c r="L154" s="9"/>
      <c r="M154" s="9"/>
      <c r="N154" s="9"/>
    </row>
    <row r="155" spans="1:14" x14ac:dyDescent="0.25">
      <c r="A155" s="6">
        <v>141</v>
      </c>
      <c r="B155" s="7">
        <f>INDEX(income!$A$1:$O$142,A155+1,MATCH($B$1,income!$A$1:$O$1,FALSE))*IF($B$4="yes",2,1)</f>
        <v>773.84</v>
      </c>
      <c r="C155" s="7">
        <f>-playground_helper!N142</f>
        <v>0</v>
      </c>
      <c r="D155" s="7">
        <f t="shared" si="13"/>
        <v>309901.00999999989</v>
      </c>
      <c r="E155" s="7">
        <f t="shared" si="14"/>
        <v>-166455</v>
      </c>
      <c r="F155" s="11">
        <f t="shared" si="12"/>
        <v>143446.00999999989</v>
      </c>
      <c r="G155" s="15"/>
      <c r="H155" s="13"/>
      <c r="I155" s="9"/>
      <c r="J155" s="9"/>
      <c r="K155" s="9"/>
      <c r="L155" s="9"/>
      <c r="M155" s="9"/>
      <c r="N155" s="9"/>
    </row>
  </sheetData>
  <phoneticPr fontId="1" type="noConversion"/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hisWorkbook.btn_save">
                <anchor moveWithCells="1" sizeWithCells="1">
                  <from>
                    <xdr:col>0</xdr:col>
                    <xdr:colOff>95250</xdr:colOff>
                    <xdr:row>10</xdr:row>
                    <xdr:rowOff>114300</xdr:rowOff>
                  </from>
                  <to>
                    <xdr:col>0</xdr:col>
                    <xdr:colOff>590550</xdr:colOff>
                    <xdr:row>11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ThisWorkbook.btn_load">
                <anchor moveWithCells="1" sizeWithCells="1">
                  <from>
                    <xdr:col>0</xdr:col>
                    <xdr:colOff>714375</xdr:colOff>
                    <xdr:row>10</xdr:row>
                    <xdr:rowOff>95250</xdr:rowOff>
                  </from>
                  <to>
                    <xdr:col>0</xdr:col>
                    <xdr:colOff>1209675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ThisWorkbook.btn_play">
                <anchor moveWithCells="1" sizeWithCells="1">
                  <from>
                    <xdr:col>4</xdr:col>
                    <xdr:colOff>371475</xdr:colOff>
                    <xdr:row>0</xdr:row>
                    <xdr:rowOff>133350</xdr:rowOff>
                  </from>
                  <to>
                    <xdr:col>5</xdr:col>
                    <xdr:colOff>571500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0D37BDC-BB67-43EF-AAD8-951D8552B476}">
          <x14:formula1>
            <xm:f>values!$A$2:$A$15</xm:f>
          </x14:formula1>
          <xm:sqref>B1</xm:sqref>
        </x14:dataValidation>
        <x14:dataValidation type="list" allowBlank="1" showInputMessage="1" showErrorMessage="1" xr:uid="{FFD37BDB-610F-4AA1-AFF8-17BC73F475D1}">
          <x14:formula1>
            <xm:f>values!$C$2:$C$3</xm:f>
          </x14:formula1>
          <xm:sqref>B4:B5</xm:sqref>
        </x14:dataValidation>
        <x14:dataValidation type="list" allowBlank="1" showInputMessage="1" showErrorMessage="1" xr:uid="{EE36BC2C-BEB6-44AD-AFBD-9436EAC75D22}">
          <x14:formula1>
            <xm:f>values!$B$2:$B$70</xm:f>
          </x14:formula1>
          <xm:sqref>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N142"/>
  <sheetViews>
    <sheetView workbookViewId="0">
      <pane ySplit="1" topLeftCell="A2" activePane="bottomLeft" state="frozen"/>
      <selection pane="bottomLeft" activeCell="F3" sqref="F3"/>
    </sheetView>
  </sheetViews>
  <sheetFormatPr defaultRowHeight="15" x14ac:dyDescent="0.25"/>
  <cols>
    <col min="2" max="2" width="37" bestFit="1" customWidth="1"/>
    <col min="3" max="3" width="14.5703125" customWidth="1"/>
    <col min="4" max="4" width="17.42578125" bestFit="1" customWidth="1"/>
    <col min="5" max="6" width="14.5703125" customWidth="1"/>
    <col min="7" max="14" width="13.140625" customWidth="1"/>
  </cols>
  <sheetData>
    <row r="1" spans="1:14" x14ac:dyDescent="0.25">
      <c r="A1" s="1" t="s">
        <v>667</v>
      </c>
      <c r="B1" s="4" t="s">
        <v>657</v>
      </c>
      <c r="C1" s="4" t="s">
        <v>658</v>
      </c>
      <c r="D1" s="4" t="s">
        <v>39</v>
      </c>
      <c r="E1" s="4" t="s">
        <v>659</v>
      </c>
      <c r="F1" s="4" t="s">
        <v>665</v>
      </c>
      <c r="G1" s="4" t="s">
        <v>19</v>
      </c>
      <c r="H1" s="4" t="s">
        <v>20</v>
      </c>
      <c r="I1" s="4" t="s">
        <v>21</v>
      </c>
      <c r="J1" s="4" t="s">
        <v>22</v>
      </c>
      <c r="K1" s="4" t="s">
        <v>23</v>
      </c>
      <c r="L1" s="4" t="s">
        <v>24</v>
      </c>
      <c r="M1" s="4" t="s">
        <v>25</v>
      </c>
      <c r="N1" s="4" t="s">
        <v>660</v>
      </c>
    </row>
    <row r="2" spans="1:14" x14ac:dyDescent="0.25">
      <c r="A2">
        <v>1</v>
      </c>
      <c r="B2" t="str">
        <f>IF(playground!G15=0,"",playground!G15)</f>
        <v>Quincy|Quincy|237,306</v>
      </c>
      <c r="C2" t="str">
        <f>IFERROR(LEFT(B2,SEARCH("|",B2,1)-1),"")</f>
        <v>Quincy</v>
      </c>
      <c r="D2" t="str">
        <f>IFERROR(MID(B2, SEARCH("|",B2) + 1, SEARCH("|",B2,SEARCH("|",B2)+1) - SEARCH("|",B2) - 1),"")</f>
        <v>Quincy</v>
      </c>
      <c r="E2" t="str">
        <f>IFERROR(RIGHT(B2,LEN(B2) - SEARCH("|", B2, SEARCH("|", B2) + 1)),"")</f>
        <v>237,306</v>
      </c>
      <c r="F2">
        <f>IF(playground!B1="impoppable",7,IF(playground!B1="chimps",6,IF(LEFT(playground!B1,FIND("|",playground!B1)-1)="hard",5,IF(LEFT(playground!B1,FIND("|",playground!B1)-1)="easy",3,4))))</f>
        <v>6</v>
      </c>
      <c r="G2" s="14">
        <f>IFERROR(VLOOKUP(VLOOKUP(IFERROR(LEFT(playground!H15,SEARCH("|",playground!H15,1)-1),""),$C:$D,2,FALSE)&amp;RIGHT(playground!H15,4),expense!$A:$G,$F$2,FALSE),0)</f>
        <v>0</v>
      </c>
      <c r="H2" s="14">
        <f>IFERROR(VLOOKUP(VLOOKUP(IFERROR(LEFT(playground!I15,SEARCH("|",playground!I15,1)-1),""),$C:$D,2,FALSE)&amp;RIGHT(playground!I15,4),expense!$A:$G,$F$2,FALSE),0)</f>
        <v>0</v>
      </c>
      <c r="I2" s="14">
        <f>IFERROR(VLOOKUP(VLOOKUP(IFERROR(LEFT(playground!J15,SEARCH("|",playground!J15,1)-1),""),$C:$D,2,FALSE)&amp;RIGHT(playground!J15,4),expense!$A:$G,$F$2,FALSE),0)</f>
        <v>0</v>
      </c>
      <c r="J2" s="14">
        <f>IFERROR(VLOOKUP(VLOOKUP(IFERROR(LEFT(playground!K15,SEARCH("|",playground!K15,1)-1),""),$C:$D,2,FALSE)&amp;RIGHT(playground!K15,4),expense!$A:$G,$F$2,FALSE),0)</f>
        <v>0</v>
      </c>
      <c r="K2" s="14">
        <f>IFERROR(VLOOKUP(VLOOKUP(IFERROR(LEFT(playground!L15,SEARCH("|",playground!L15,1)-1),""),$C:$D,2,FALSE)&amp;RIGHT(playground!L15,4),expense!$A:$G,$F$2,FALSE),0)</f>
        <v>0</v>
      </c>
      <c r="L2" s="14">
        <f>IFERROR(VLOOKUP(VLOOKUP(IFERROR(LEFT(playground!M15,SEARCH("|",playground!M15,1)-1),""),$C:$D,2,FALSE)&amp;RIGHT(playground!M15,4),expense!$A:$G,$F$2,FALSE),0)</f>
        <v>0</v>
      </c>
      <c r="M2" s="14">
        <f>IFERROR(VLOOKUP(VLOOKUP(IFERROR(LEFT(playground!N15,SEARCH("|",playground!N15,1)-1),""),$C:$D,2,FALSE)&amp;RIGHT(playground!N15,4),expense!$A:$G,$F$2,FALSE),0)</f>
        <v>0</v>
      </c>
      <c r="N2" s="14">
        <f>SUM(G2:M2)</f>
        <v>0</v>
      </c>
    </row>
    <row r="3" spans="1:14" x14ac:dyDescent="0.25">
      <c r="A3">
        <v>2</v>
      </c>
      <c r="B3" t="str">
        <f>IF(playground!G16=0,"",playground!G16)</f>
        <v>Dart1|DartMonkey|266,359</v>
      </c>
      <c r="C3" t="str">
        <f t="shared" ref="C3:C66" si="0">IFERROR(LEFT(B3,SEARCH("|",B3,1)-1),"")</f>
        <v>Dart1</v>
      </c>
      <c r="D3" t="str">
        <f t="shared" ref="D3:D66" si="1">IFERROR(MID(B3, SEARCH("|",B3) + 1, SEARCH("|",B3,SEARCH("|",B3)+1) - SEARCH("|",B3) - 1),"")</f>
        <v>DartMonkey</v>
      </c>
      <c r="E3" t="str">
        <f t="shared" ref="E3:E66" si="2">IFERROR(RIGHT(B3,LEN(B3) - SEARCH("|", B3, SEARCH("|", B3) + 1)),"")</f>
        <v>266,359</v>
      </c>
      <c r="G3" s="14">
        <f>IFERROR(VLOOKUP(VLOOKUP(IFERROR(LEFT(playground!H16,SEARCH("|",playground!H16,1)-1),""),$C:$D,2,FALSE)&amp;RIGHT(playground!H16,4),expense!$A:$G,$F$2,FALSE),0)</f>
        <v>0</v>
      </c>
      <c r="H3" s="14">
        <f>IFERROR(VLOOKUP(VLOOKUP(IFERROR(LEFT(playground!I16,SEARCH("|",playground!I16,1)-1),""),$C:$D,2,FALSE)&amp;RIGHT(playground!I16,4),expense!$A:$G,$F$2,FALSE),0)</f>
        <v>0</v>
      </c>
      <c r="I3" s="14">
        <f>IFERROR(VLOOKUP(VLOOKUP(IFERROR(LEFT(playground!J16,SEARCH("|",playground!J16,1)-1),""),$C:$D,2,FALSE)&amp;RIGHT(playground!J16,4),expense!$A:$G,$F$2,FALSE),0)</f>
        <v>0</v>
      </c>
      <c r="J3" s="14">
        <f>IFERROR(VLOOKUP(VLOOKUP(IFERROR(LEFT(playground!K16,SEARCH("|",playground!K16,1)-1),""),$C:$D,2,FALSE)&amp;RIGHT(playground!K16,4),expense!$A:$G,$F$2,FALSE),0)</f>
        <v>0</v>
      </c>
      <c r="K3" s="14">
        <f>IFERROR(VLOOKUP(VLOOKUP(IFERROR(LEFT(playground!L16,SEARCH("|",playground!L16,1)-1),""),$C:$D,2,FALSE)&amp;RIGHT(playground!L16,4),expense!$A:$G,$F$2,FALSE),0)</f>
        <v>0</v>
      </c>
      <c r="L3" s="14">
        <f>IFERROR(VLOOKUP(VLOOKUP(IFERROR(LEFT(playground!M16,SEARCH("|",playground!M16,1)-1),""),$C:$D,2,FALSE)&amp;RIGHT(playground!M16,4),expense!$A:$G,$F$2,FALSE),0)</f>
        <v>0</v>
      </c>
      <c r="M3" s="14">
        <f>IFERROR(VLOOKUP(VLOOKUP(IFERROR(LEFT(playground!N16,SEARCH("|",playground!N16,1)-1),""),$C:$D,2,FALSE)&amp;RIGHT(playground!N16,4),expense!$A:$G,$F$2,FALSE),0)</f>
        <v>0</v>
      </c>
      <c r="N3" s="14">
        <f t="shared" ref="N3:N66" si="3">SUM(G3:M3)</f>
        <v>0</v>
      </c>
    </row>
    <row r="4" spans="1:14" x14ac:dyDescent="0.25">
      <c r="A4">
        <v>3</v>
      </c>
      <c r="B4" t="str">
        <f>IF(playground!G17=0,"",playground!G17)</f>
        <v>Druid1|Druid|394,318</v>
      </c>
      <c r="C4" t="str">
        <f t="shared" si="0"/>
        <v>Druid1</v>
      </c>
      <c r="D4" t="str">
        <f t="shared" si="1"/>
        <v>Druid</v>
      </c>
      <c r="E4" t="str">
        <f t="shared" si="2"/>
        <v>394,318</v>
      </c>
      <c r="G4" s="14">
        <f>IFERROR(VLOOKUP(VLOOKUP(IFERROR(LEFT(playground!H17,SEARCH("|",playground!H17,1)-1),""),$C:$D,2,FALSE)&amp;RIGHT(playground!H17,4),expense!$A:$G,$F$2,FALSE),0)</f>
        <v>0</v>
      </c>
      <c r="H4" s="14">
        <f>IFERROR(VLOOKUP(VLOOKUP(IFERROR(LEFT(playground!I17,SEARCH("|",playground!I17,1)-1),""),$C:$D,2,FALSE)&amp;RIGHT(playground!I17,4),expense!$A:$G,$F$2,FALSE),0)</f>
        <v>0</v>
      </c>
      <c r="I4" s="14">
        <f>IFERROR(VLOOKUP(VLOOKUP(IFERROR(LEFT(playground!J17,SEARCH("|",playground!J17,1)-1),""),$C:$D,2,FALSE)&amp;RIGHT(playground!J17,4),expense!$A:$G,$F$2,FALSE),0)</f>
        <v>0</v>
      </c>
      <c r="J4" s="14">
        <f>IFERROR(VLOOKUP(VLOOKUP(IFERROR(LEFT(playground!K17,SEARCH("|",playground!K17,1)-1),""),$C:$D,2,FALSE)&amp;RIGHT(playground!K17,4),expense!$A:$G,$F$2,FALSE),0)</f>
        <v>0</v>
      </c>
      <c r="K4" s="14">
        <f>IFERROR(VLOOKUP(VLOOKUP(IFERROR(LEFT(playground!L17,SEARCH("|",playground!L17,1)-1),""),$C:$D,2,FALSE)&amp;RIGHT(playground!L17,4),expense!$A:$G,$F$2,FALSE),0)</f>
        <v>0</v>
      </c>
      <c r="L4" s="14">
        <f>IFERROR(VLOOKUP(VLOOKUP(IFERROR(LEFT(playground!M17,SEARCH("|",playground!M17,1)-1),""),$C:$D,2,FALSE)&amp;RIGHT(playground!M17,4),expense!$A:$G,$F$2,FALSE),0)</f>
        <v>0</v>
      </c>
      <c r="M4" s="14">
        <f>IFERROR(VLOOKUP(VLOOKUP(IFERROR(LEFT(playground!N17,SEARCH("|",playground!N17,1)-1),""),$C:$D,2,FALSE)&amp;RIGHT(playground!N17,4),expense!$A:$G,$F$2,FALSE),0)</f>
        <v>0</v>
      </c>
      <c r="N4" s="14">
        <f t="shared" si="3"/>
        <v>0</v>
      </c>
    </row>
    <row r="5" spans="1:14" x14ac:dyDescent="0.25">
      <c r="A5">
        <v>4</v>
      </c>
      <c r="B5" t="str">
        <f>IF(playground!G18=0,"",playground!G18)</f>
        <v>Spike1|SpikeFactory|460,300</v>
      </c>
      <c r="C5" t="str">
        <f t="shared" si="0"/>
        <v>Spike1</v>
      </c>
      <c r="D5" t="str">
        <f t="shared" si="1"/>
        <v>SpikeFactory</v>
      </c>
      <c r="E5" t="str">
        <f t="shared" si="2"/>
        <v>460,300</v>
      </c>
      <c r="G5" s="14">
        <f>IFERROR(VLOOKUP(VLOOKUP(IFERROR(LEFT(playground!H18,SEARCH("|",playground!H18,1)-1),""),$C:$D,2,FALSE)&amp;RIGHT(playground!H18,4),expense!$A:$G,$F$2,FALSE),0)</f>
        <v>0</v>
      </c>
      <c r="H5" s="14">
        <f>IFERROR(VLOOKUP(VLOOKUP(IFERROR(LEFT(playground!I18,SEARCH("|",playground!I18,1)-1),""),$C:$D,2,FALSE)&amp;RIGHT(playground!I18,4),expense!$A:$G,$F$2,FALSE),0)</f>
        <v>0</v>
      </c>
      <c r="I5" s="14">
        <f>IFERROR(VLOOKUP(VLOOKUP(IFERROR(LEFT(playground!J18,SEARCH("|",playground!J18,1)-1),""),$C:$D,2,FALSE)&amp;RIGHT(playground!J18,4),expense!$A:$G,$F$2,FALSE),0)</f>
        <v>0</v>
      </c>
      <c r="J5" s="14">
        <f>IFERROR(VLOOKUP(VLOOKUP(IFERROR(LEFT(playground!K18,SEARCH("|",playground!K18,1)-1),""),$C:$D,2,FALSE)&amp;RIGHT(playground!K18,4),expense!$A:$G,$F$2,FALSE),0)</f>
        <v>0</v>
      </c>
      <c r="K5" s="14">
        <f>IFERROR(VLOOKUP(VLOOKUP(IFERROR(LEFT(playground!L18,SEARCH("|",playground!L18,1)-1),""),$C:$D,2,FALSE)&amp;RIGHT(playground!L18,4),expense!$A:$G,$F$2,FALSE),0)</f>
        <v>0</v>
      </c>
      <c r="L5" s="14">
        <f>IFERROR(VLOOKUP(VLOOKUP(IFERROR(LEFT(playground!M18,SEARCH("|",playground!M18,1)-1),""),$C:$D,2,FALSE)&amp;RIGHT(playground!M18,4),expense!$A:$G,$F$2,FALSE),0)</f>
        <v>0</v>
      </c>
      <c r="M5" s="14">
        <f>IFERROR(VLOOKUP(VLOOKUP(IFERROR(LEFT(playground!N18,SEARCH("|",playground!N18,1)-1),""),$C:$D,2,FALSE)&amp;RIGHT(playground!N18,4),expense!$A:$G,$F$2,FALSE),0)</f>
        <v>0</v>
      </c>
      <c r="N5" s="14">
        <f t="shared" si="3"/>
        <v>0</v>
      </c>
    </row>
    <row r="6" spans="1:14" x14ac:dyDescent="0.25">
      <c r="A6">
        <v>5</v>
      </c>
      <c r="B6" t="str">
        <f>IF(playground!G19=0,"",playground!G19)</f>
        <v>Village1|MonkeyVillage|429,380</v>
      </c>
      <c r="C6" t="str">
        <f t="shared" si="0"/>
        <v>Village1</v>
      </c>
      <c r="D6" t="str">
        <f t="shared" si="1"/>
        <v>MonkeyVillage</v>
      </c>
      <c r="E6" t="str">
        <f t="shared" si="2"/>
        <v>429,380</v>
      </c>
      <c r="G6" s="14">
        <f>IFERROR(VLOOKUP(VLOOKUP(IFERROR(LEFT(playground!H19,SEARCH("|",playground!H19,1)-1),""),$C:$D,2,FALSE)&amp;RIGHT(playground!H19,4),expense!$A:$G,$F$2,FALSE),0)</f>
        <v>0</v>
      </c>
      <c r="H6" s="14">
        <f>IFERROR(VLOOKUP(VLOOKUP(IFERROR(LEFT(playground!I19,SEARCH("|",playground!I19,1)-1),""),$C:$D,2,FALSE)&amp;RIGHT(playground!I19,4),expense!$A:$G,$F$2,FALSE),0)</f>
        <v>0</v>
      </c>
      <c r="I6" s="14">
        <f>IFERROR(VLOOKUP(VLOOKUP(IFERROR(LEFT(playground!J19,SEARCH("|",playground!J19,1)-1),""),$C:$D,2,FALSE)&amp;RIGHT(playground!J19,4),expense!$A:$G,$F$2,FALSE),0)</f>
        <v>0</v>
      </c>
      <c r="J6" s="14">
        <f>IFERROR(VLOOKUP(VLOOKUP(IFERROR(LEFT(playground!K19,SEARCH("|",playground!K19,1)-1),""),$C:$D,2,FALSE)&amp;RIGHT(playground!K19,4),expense!$A:$G,$F$2,FALSE),0)</f>
        <v>0</v>
      </c>
      <c r="K6" s="14">
        <f>IFERROR(VLOOKUP(VLOOKUP(IFERROR(LEFT(playground!L19,SEARCH("|",playground!L19,1)-1),""),$C:$D,2,FALSE)&amp;RIGHT(playground!L19,4),expense!$A:$G,$F$2,FALSE),0)</f>
        <v>0</v>
      </c>
      <c r="L6" s="14">
        <f>IFERROR(VLOOKUP(VLOOKUP(IFERROR(LEFT(playground!M19,SEARCH("|",playground!M19,1)-1),""),$C:$D,2,FALSE)&amp;RIGHT(playground!M19,4),expense!$A:$G,$F$2,FALSE),0)</f>
        <v>0</v>
      </c>
      <c r="M6" s="14">
        <f>IFERROR(VLOOKUP(VLOOKUP(IFERROR(LEFT(playground!N19,SEARCH("|",playground!N19,1)-1),""),$C:$D,2,FALSE)&amp;RIGHT(playground!N19,4),expense!$A:$G,$F$2,FALSE),0)</f>
        <v>0</v>
      </c>
      <c r="N6" s="14">
        <f t="shared" si="3"/>
        <v>0</v>
      </c>
    </row>
    <row r="7" spans="1:14" x14ac:dyDescent="0.25">
      <c r="A7">
        <v>6</v>
      </c>
      <c r="B7" t="str">
        <f>IF(playground!G20=0,"",playground!G20)</f>
        <v>Alchi1|Alchemist|360,480</v>
      </c>
      <c r="C7" t="str">
        <f t="shared" si="0"/>
        <v>Alchi1</v>
      </c>
      <c r="D7" t="str">
        <f t="shared" si="1"/>
        <v>Alchemist</v>
      </c>
      <c r="E7" t="str">
        <f t="shared" si="2"/>
        <v>360,480</v>
      </c>
      <c r="G7" s="14">
        <f>IFERROR(VLOOKUP(VLOOKUP(IFERROR(LEFT(playground!H20,SEARCH("|",playground!H20,1)-1),""),$C:$D,2,FALSE)&amp;RIGHT(playground!H20,4),expense!$A:$G,$F$2,FALSE),0)</f>
        <v>585</v>
      </c>
      <c r="H7" s="14">
        <f>IFERROR(VLOOKUP(VLOOKUP(IFERROR(LEFT(playground!I20,SEARCH("|",playground!I20,1)-1),""),$C:$D,2,FALSE)&amp;RIGHT(playground!I20,4),expense!$A:$G,$F$2,FALSE),0)</f>
        <v>0</v>
      </c>
      <c r="I7" s="14">
        <f>IFERROR(VLOOKUP(VLOOKUP(IFERROR(LEFT(playground!J20,SEARCH("|",playground!J20,1)-1),""),$C:$D,2,FALSE)&amp;RIGHT(playground!J20,4),expense!$A:$G,$F$2,FALSE),0)</f>
        <v>0</v>
      </c>
      <c r="J7" s="14">
        <f>IFERROR(VLOOKUP(VLOOKUP(IFERROR(LEFT(playground!K20,SEARCH("|",playground!K20,1)-1),""),$C:$D,2,FALSE)&amp;RIGHT(playground!K20,4),expense!$A:$G,$F$2,FALSE),0)</f>
        <v>0</v>
      </c>
      <c r="K7" s="14">
        <f>IFERROR(VLOOKUP(VLOOKUP(IFERROR(LEFT(playground!L20,SEARCH("|",playground!L20,1)-1),""),$C:$D,2,FALSE)&amp;RIGHT(playground!L20,4),expense!$A:$G,$F$2,FALSE),0)</f>
        <v>0</v>
      </c>
      <c r="L7" s="14">
        <f>IFERROR(VLOOKUP(VLOOKUP(IFERROR(LEFT(playground!M20,SEARCH("|",playground!M20,1)-1),""),$C:$D,2,FALSE)&amp;RIGHT(playground!M20,4),expense!$A:$G,$F$2,FALSE),0)</f>
        <v>0</v>
      </c>
      <c r="M7" s="14">
        <f>IFERROR(VLOOKUP(VLOOKUP(IFERROR(LEFT(playground!N20,SEARCH("|",playground!N20,1)-1),""),$C:$D,2,FALSE)&amp;RIGHT(playground!N20,4),expense!$A:$G,$F$2,FALSE),0)</f>
        <v>0</v>
      </c>
      <c r="N7" s="14">
        <f t="shared" si="3"/>
        <v>585</v>
      </c>
    </row>
    <row r="8" spans="1:14" x14ac:dyDescent="0.25">
      <c r="A8">
        <v>7</v>
      </c>
      <c r="B8" t="str">
        <f>IF(playground!G21=0,"",playground!G21)</f>
        <v>Ace1|MonkeyAce|429,468</v>
      </c>
      <c r="C8" t="str">
        <f t="shared" si="0"/>
        <v>Ace1</v>
      </c>
      <c r="D8" t="str">
        <f t="shared" si="1"/>
        <v>MonkeyAce</v>
      </c>
      <c r="E8" t="str">
        <f t="shared" si="2"/>
        <v>429,468</v>
      </c>
      <c r="G8" s="14">
        <f>IFERROR(VLOOKUP(VLOOKUP(IFERROR(LEFT(playground!H21,SEARCH("|",playground!H21,1)-1),""),$C:$D,2,FALSE)&amp;RIGHT(playground!H21,4),expense!$A:$G,$F$2,FALSE),0)</f>
        <v>215</v>
      </c>
      <c r="H8" s="14">
        <f>IFERROR(VLOOKUP(VLOOKUP(IFERROR(LEFT(playground!I21,SEARCH("|",playground!I21,1)-1),""),$C:$D,2,FALSE)&amp;RIGHT(playground!I21,4),expense!$A:$G,$F$2,FALSE),0)</f>
        <v>0</v>
      </c>
      <c r="I8" s="14">
        <f>IFERROR(VLOOKUP(VLOOKUP(IFERROR(LEFT(playground!J21,SEARCH("|",playground!J21,1)-1),""),$C:$D,2,FALSE)&amp;RIGHT(playground!J21,4),expense!$A:$G,$F$2,FALSE),0)</f>
        <v>0</v>
      </c>
      <c r="J8" s="14">
        <f>IFERROR(VLOOKUP(VLOOKUP(IFERROR(LEFT(playground!K21,SEARCH("|",playground!K21,1)-1),""),$C:$D,2,FALSE)&amp;RIGHT(playground!K21,4),expense!$A:$G,$F$2,FALSE),0)</f>
        <v>0</v>
      </c>
      <c r="K8" s="14">
        <f>IFERROR(VLOOKUP(VLOOKUP(IFERROR(LEFT(playground!L21,SEARCH("|",playground!L21,1)-1),""),$C:$D,2,FALSE)&amp;RIGHT(playground!L21,4),expense!$A:$G,$F$2,FALSE),0)</f>
        <v>0</v>
      </c>
      <c r="L8" s="14">
        <f>IFERROR(VLOOKUP(VLOOKUP(IFERROR(LEFT(playground!M21,SEARCH("|",playground!M21,1)-1),""),$C:$D,2,FALSE)&amp;RIGHT(playground!M21,4),expense!$A:$G,$F$2,FALSE),0)</f>
        <v>0</v>
      </c>
      <c r="M8" s="14">
        <f>IFERROR(VLOOKUP(VLOOKUP(IFERROR(LEFT(playground!N21,SEARCH("|",playground!N21,1)-1),""),$C:$D,2,FALSE)&amp;RIGHT(playground!N21,4),expense!$A:$G,$F$2,FALSE),0)</f>
        <v>0</v>
      </c>
      <c r="N8" s="14">
        <f t="shared" si="3"/>
        <v>215</v>
      </c>
    </row>
    <row r="9" spans="1:14" x14ac:dyDescent="0.25">
      <c r="A9">
        <v>8</v>
      </c>
      <c r="B9" t="str">
        <f>IF(playground!G22=0,"",playground!G22)</f>
        <v/>
      </c>
      <c r="C9" t="str">
        <f t="shared" si="0"/>
        <v/>
      </c>
      <c r="D9" t="str">
        <f t="shared" si="1"/>
        <v/>
      </c>
      <c r="E9" t="str">
        <f t="shared" si="2"/>
        <v/>
      </c>
      <c r="G9" s="14">
        <f>IFERROR(VLOOKUP(VLOOKUP(IFERROR(LEFT(playground!H22,SEARCH("|",playground!H22,1)-1),""),$C:$D,2,FALSE)&amp;RIGHT(playground!H22,4),expense!$A:$G,$F$2,FALSE),0)</f>
        <v>110</v>
      </c>
      <c r="H9" s="14">
        <f>IFERROR(VLOOKUP(VLOOKUP(IFERROR(LEFT(playground!I22,SEARCH("|",playground!I22,1)-1),""),$C:$D,2,FALSE)&amp;RIGHT(playground!I22,4),expense!$A:$G,$F$2,FALSE),0)</f>
        <v>0</v>
      </c>
      <c r="I9" s="14">
        <f>IFERROR(VLOOKUP(VLOOKUP(IFERROR(LEFT(playground!J22,SEARCH("|",playground!J22,1)-1),""),$C:$D,2,FALSE)&amp;RIGHT(playground!J22,4),expense!$A:$G,$F$2,FALSE),0)</f>
        <v>0</v>
      </c>
      <c r="J9" s="14">
        <f>IFERROR(VLOOKUP(VLOOKUP(IFERROR(LEFT(playground!K22,SEARCH("|",playground!K22,1)-1),""),$C:$D,2,FALSE)&amp;RIGHT(playground!K22,4),expense!$A:$G,$F$2,FALSE),0)</f>
        <v>0</v>
      </c>
      <c r="K9" s="14">
        <f>IFERROR(VLOOKUP(VLOOKUP(IFERROR(LEFT(playground!L22,SEARCH("|",playground!L22,1)-1),""),$C:$D,2,FALSE)&amp;RIGHT(playground!L22,4),expense!$A:$G,$F$2,FALSE),0)</f>
        <v>0</v>
      </c>
      <c r="L9" s="14">
        <f>IFERROR(VLOOKUP(VLOOKUP(IFERROR(LEFT(playground!M22,SEARCH("|",playground!M22,1)-1),""),$C:$D,2,FALSE)&amp;RIGHT(playground!M22,4),expense!$A:$G,$F$2,FALSE),0)</f>
        <v>0</v>
      </c>
      <c r="M9" s="14">
        <f>IFERROR(VLOOKUP(VLOOKUP(IFERROR(LEFT(playground!N22,SEARCH("|",playground!N22,1)-1),""),$C:$D,2,FALSE)&amp;RIGHT(playground!N22,4),expense!$A:$G,$F$2,FALSE),0)</f>
        <v>0</v>
      </c>
      <c r="N9" s="14">
        <f t="shared" si="3"/>
        <v>110</v>
      </c>
    </row>
    <row r="10" spans="1:14" x14ac:dyDescent="0.25">
      <c r="A10">
        <v>9</v>
      </c>
      <c r="B10" t="str">
        <f>IF(playground!G23=0,"",playground!G23)</f>
        <v/>
      </c>
      <c r="C10" t="str">
        <f t="shared" si="0"/>
        <v/>
      </c>
      <c r="D10" t="str">
        <f t="shared" si="1"/>
        <v/>
      </c>
      <c r="E10" t="str">
        <f t="shared" si="2"/>
        <v/>
      </c>
      <c r="G10" s="14">
        <f>IFERROR(VLOOKUP(VLOOKUP(IFERROR(LEFT(playground!H23,SEARCH("|",playground!H23,1)-1),""),$C:$D,2,FALSE)&amp;RIGHT(playground!H23,4),expense!$A:$G,$F$2,FALSE),0)</f>
        <v>205</v>
      </c>
      <c r="H10" s="14">
        <f>IFERROR(VLOOKUP(VLOOKUP(IFERROR(LEFT(playground!I23,SEARCH("|",playground!I23,1)-1),""),$C:$D,2,FALSE)&amp;RIGHT(playground!I23,4),expense!$A:$G,$F$2,FALSE),0)</f>
        <v>0</v>
      </c>
      <c r="I10" s="14">
        <f>IFERROR(VLOOKUP(VLOOKUP(IFERROR(LEFT(playground!J23,SEARCH("|",playground!J23,1)-1),""),$C:$D,2,FALSE)&amp;RIGHT(playground!J23,4),expense!$A:$G,$F$2,FALSE),0)</f>
        <v>0</v>
      </c>
      <c r="J10" s="14">
        <f>IFERROR(VLOOKUP(VLOOKUP(IFERROR(LEFT(playground!K23,SEARCH("|",playground!K23,1)-1),""),$C:$D,2,FALSE)&amp;RIGHT(playground!K23,4),expense!$A:$G,$F$2,FALSE),0)</f>
        <v>0</v>
      </c>
      <c r="K10" s="14">
        <f>IFERROR(VLOOKUP(VLOOKUP(IFERROR(LEFT(playground!L23,SEARCH("|",playground!L23,1)-1),""),$C:$D,2,FALSE)&amp;RIGHT(playground!L23,4),expense!$A:$G,$F$2,FALSE),0)</f>
        <v>0</v>
      </c>
      <c r="L10" s="14">
        <f>IFERROR(VLOOKUP(VLOOKUP(IFERROR(LEFT(playground!M23,SEARCH("|",playground!M23,1)-1),""),$C:$D,2,FALSE)&amp;RIGHT(playground!M23,4),expense!$A:$G,$F$2,FALSE),0)</f>
        <v>0</v>
      </c>
      <c r="M10" s="14">
        <f>IFERROR(VLOOKUP(VLOOKUP(IFERROR(LEFT(playground!N23,SEARCH("|",playground!N23,1)-1),""),$C:$D,2,FALSE)&amp;RIGHT(playground!N23,4),expense!$A:$G,$F$2,FALSE),0)</f>
        <v>0</v>
      </c>
      <c r="N10" s="14">
        <f t="shared" si="3"/>
        <v>205</v>
      </c>
    </row>
    <row r="11" spans="1:14" x14ac:dyDescent="0.25">
      <c r="A11">
        <v>10</v>
      </c>
      <c r="B11" t="str">
        <f>IF(playground!G24=0,"",playground!G24)</f>
        <v/>
      </c>
      <c r="C11" t="str">
        <f t="shared" si="0"/>
        <v/>
      </c>
      <c r="D11" t="str">
        <f t="shared" si="1"/>
        <v/>
      </c>
      <c r="E11" t="str">
        <f t="shared" si="2"/>
        <v/>
      </c>
      <c r="G11" s="14">
        <f>IFERROR(VLOOKUP(VLOOKUP(IFERROR(LEFT(playground!H24,SEARCH("|",playground!H24,1)-1),""),$C:$D,2,FALSE)&amp;RIGHT(playground!H24,4),expense!$A:$G,$F$2,FALSE),0)</f>
        <v>95</v>
      </c>
      <c r="H11" s="14">
        <f>IFERROR(VLOOKUP(VLOOKUP(IFERROR(LEFT(playground!I24,SEARCH("|",playground!I24,1)-1),""),$C:$D,2,FALSE)&amp;RIGHT(playground!I24,4),expense!$A:$G,$F$2,FALSE),0)</f>
        <v>0</v>
      </c>
      <c r="I11" s="14">
        <f>IFERROR(VLOOKUP(VLOOKUP(IFERROR(LEFT(playground!J24,SEARCH("|",playground!J24,1)-1),""),$C:$D,2,FALSE)&amp;RIGHT(playground!J24,4),expense!$A:$G,$F$2,FALSE),0)</f>
        <v>0</v>
      </c>
      <c r="J11" s="14">
        <f>IFERROR(VLOOKUP(VLOOKUP(IFERROR(LEFT(playground!K24,SEARCH("|",playground!K24,1)-1),""),$C:$D,2,FALSE)&amp;RIGHT(playground!K24,4),expense!$A:$G,$F$2,FALSE),0)</f>
        <v>0</v>
      </c>
      <c r="K11" s="14">
        <f>IFERROR(VLOOKUP(VLOOKUP(IFERROR(LEFT(playground!L24,SEARCH("|",playground!L24,1)-1),""),$C:$D,2,FALSE)&amp;RIGHT(playground!L24,4),expense!$A:$G,$F$2,FALSE),0)</f>
        <v>0</v>
      </c>
      <c r="L11" s="14">
        <f>IFERROR(VLOOKUP(VLOOKUP(IFERROR(LEFT(playground!M24,SEARCH("|",playground!M24,1)-1),""),$C:$D,2,FALSE)&amp;RIGHT(playground!M24,4),expense!$A:$G,$F$2,FALSE),0)</f>
        <v>0</v>
      </c>
      <c r="M11" s="14">
        <f>IFERROR(VLOOKUP(VLOOKUP(IFERROR(LEFT(playground!N24,SEARCH("|",playground!N24,1)-1),""),$C:$D,2,FALSE)&amp;RIGHT(playground!N24,4),expense!$A:$G,$F$2,FALSE),0)</f>
        <v>0</v>
      </c>
      <c r="N11" s="14">
        <f t="shared" si="3"/>
        <v>95</v>
      </c>
    </row>
    <row r="12" spans="1:14" x14ac:dyDescent="0.25">
      <c r="A12">
        <v>11</v>
      </c>
      <c r="B12" t="str">
        <f>IF(playground!G25=0,"",playground!G25)</f>
        <v/>
      </c>
      <c r="C12" t="str">
        <f t="shared" si="0"/>
        <v/>
      </c>
      <c r="D12" t="str">
        <f t="shared" si="1"/>
        <v/>
      </c>
      <c r="E12" t="str">
        <f t="shared" si="2"/>
        <v/>
      </c>
      <c r="G12" s="14">
        <f>IFERROR(VLOOKUP(VLOOKUP(IFERROR(LEFT(playground!H25,SEARCH("|",playground!H25,1)-1),""),$C:$D,2,FALSE)&amp;RIGHT(playground!H25,4),expense!$A:$G,$F$2,FALSE),0)</f>
        <v>215</v>
      </c>
      <c r="H12" s="14">
        <f>IFERROR(VLOOKUP(VLOOKUP(IFERROR(LEFT(playground!I25,SEARCH("|",playground!I25,1)-1),""),$C:$D,2,FALSE)&amp;RIGHT(playground!I25,4),expense!$A:$G,$F$2,FALSE),0)</f>
        <v>0</v>
      </c>
      <c r="I12" s="14">
        <f>IFERROR(VLOOKUP(VLOOKUP(IFERROR(LEFT(playground!J25,SEARCH("|",playground!J25,1)-1),""),$C:$D,2,FALSE)&amp;RIGHT(playground!J25,4),expense!$A:$G,$F$2,FALSE),0)</f>
        <v>0</v>
      </c>
      <c r="J12" s="14">
        <f>IFERROR(VLOOKUP(VLOOKUP(IFERROR(LEFT(playground!K25,SEARCH("|",playground!K25,1)-1),""),$C:$D,2,FALSE)&amp;RIGHT(playground!K25,4),expense!$A:$G,$F$2,FALSE),0)</f>
        <v>0</v>
      </c>
      <c r="K12" s="14">
        <f>IFERROR(VLOOKUP(VLOOKUP(IFERROR(LEFT(playground!L25,SEARCH("|",playground!L25,1)-1),""),$C:$D,2,FALSE)&amp;RIGHT(playground!L25,4),expense!$A:$G,$F$2,FALSE),0)</f>
        <v>0</v>
      </c>
      <c r="L12" s="14">
        <f>IFERROR(VLOOKUP(VLOOKUP(IFERROR(LEFT(playground!M25,SEARCH("|",playground!M25,1)-1),""),$C:$D,2,FALSE)&amp;RIGHT(playground!M25,4),expense!$A:$G,$F$2,FALSE),0)</f>
        <v>0</v>
      </c>
      <c r="M12" s="14">
        <f>IFERROR(VLOOKUP(VLOOKUP(IFERROR(LEFT(playground!N25,SEARCH("|",playground!N25,1)-1),""),$C:$D,2,FALSE)&amp;RIGHT(playground!N25,4),expense!$A:$G,$F$2,FALSE),0)</f>
        <v>0</v>
      </c>
      <c r="N12" s="14">
        <f t="shared" si="3"/>
        <v>215</v>
      </c>
    </row>
    <row r="13" spans="1:14" x14ac:dyDescent="0.25">
      <c r="A13">
        <v>12</v>
      </c>
      <c r="B13" t="str">
        <f>IF(playground!G26=0,"",playground!G26)</f>
        <v/>
      </c>
      <c r="C13" t="str">
        <f t="shared" si="0"/>
        <v/>
      </c>
      <c r="D13" t="str">
        <f t="shared" si="1"/>
        <v/>
      </c>
      <c r="E13" t="str">
        <f t="shared" si="2"/>
        <v/>
      </c>
      <c r="G13" s="14">
        <f>IFERROR(VLOOKUP(VLOOKUP(IFERROR(LEFT(playground!H26,SEARCH("|",playground!H26,1)-1),""),$C:$D,2,FALSE)&amp;RIGHT(playground!H26,4),expense!$A:$G,$F$2,FALSE),0)</f>
        <v>0</v>
      </c>
      <c r="H13" s="14">
        <f>IFERROR(VLOOKUP(VLOOKUP(IFERROR(LEFT(playground!I26,SEARCH("|",playground!I26,1)-1),""),$C:$D,2,FALSE)&amp;RIGHT(playground!I26,4),expense!$A:$G,$F$2,FALSE),0)</f>
        <v>0</v>
      </c>
      <c r="I13" s="14">
        <f>IFERROR(VLOOKUP(VLOOKUP(IFERROR(LEFT(playground!J26,SEARCH("|",playground!J26,1)-1),""),$C:$D,2,FALSE)&amp;RIGHT(playground!J26,4),expense!$A:$G,$F$2,FALSE),0)</f>
        <v>0</v>
      </c>
      <c r="J13" s="14">
        <f>IFERROR(VLOOKUP(VLOOKUP(IFERROR(LEFT(playground!K26,SEARCH("|",playground!K26,1)-1),""),$C:$D,2,FALSE)&amp;RIGHT(playground!K26,4),expense!$A:$G,$F$2,FALSE),0)</f>
        <v>0</v>
      </c>
      <c r="K13" s="14">
        <f>IFERROR(VLOOKUP(VLOOKUP(IFERROR(LEFT(playground!L26,SEARCH("|",playground!L26,1)-1),""),$C:$D,2,FALSE)&amp;RIGHT(playground!L26,4),expense!$A:$G,$F$2,FALSE),0)</f>
        <v>0</v>
      </c>
      <c r="L13" s="14">
        <f>IFERROR(VLOOKUP(VLOOKUP(IFERROR(LEFT(playground!M26,SEARCH("|",playground!M26,1)-1),""),$C:$D,2,FALSE)&amp;RIGHT(playground!M26,4),expense!$A:$G,$F$2,FALSE),0)</f>
        <v>0</v>
      </c>
      <c r="M13" s="14">
        <f>IFERROR(VLOOKUP(VLOOKUP(IFERROR(LEFT(playground!N26,SEARCH("|",playground!N26,1)-1),""),$C:$D,2,FALSE)&amp;RIGHT(playground!N26,4),expense!$A:$G,$F$2,FALSE),0)</f>
        <v>0</v>
      </c>
      <c r="N13" s="14">
        <f t="shared" si="3"/>
        <v>0</v>
      </c>
    </row>
    <row r="14" spans="1:14" x14ac:dyDescent="0.25">
      <c r="A14">
        <v>13</v>
      </c>
      <c r="B14" t="str">
        <f>IF(playground!G27=0,"",playground!G27)</f>
        <v/>
      </c>
      <c r="C14" t="str">
        <f t="shared" si="0"/>
        <v/>
      </c>
      <c r="D14" t="str">
        <f t="shared" si="1"/>
        <v/>
      </c>
      <c r="E14" t="str">
        <f t="shared" si="2"/>
        <v/>
      </c>
      <c r="G14" s="14">
        <f>IFERROR(VLOOKUP(VLOOKUP(IFERROR(LEFT(playground!H27,SEARCH("|",playground!H27,1)-1),""),$C:$D,2,FALSE)&amp;RIGHT(playground!H27,4),expense!$A:$G,$F$2,FALSE),0)</f>
        <v>0</v>
      </c>
      <c r="H14" s="14">
        <f>IFERROR(VLOOKUP(VLOOKUP(IFERROR(LEFT(playground!I27,SEARCH("|",playground!I27,1)-1),""),$C:$D,2,FALSE)&amp;RIGHT(playground!I27,4),expense!$A:$G,$F$2,FALSE),0)</f>
        <v>0</v>
      </c>
      <c r="I14" s="14">
        <f>IFERROR(VLOOKUP(VLOOKUP(IFERROR(LEFT(playground!J27,SEARCH("|",playground!J27,1)-1),""),$C:$D,2,FALSE)&amp;RIGHT(playground!J27,4),expense!$A:$G,$F$2,FALSE),0)</f>
        <v>0</v>
      </c>
      <c r="J14" s="14">
        <f>IFERROR(VLOOKUP(VLOOKUP(IFERROR(LEFT(playground!K27,SEARCH("|",playground!K27,1)-1),""),$C:$D,2,FALSE)&amp;RIGHT(playground!K27,4),expense!$A:$G,$F$2,FALSE),0)</f>
        <v>0</v>
      </c>
      <c r="K14" s="14">
        <f>IFERROR(VLOOKUP(VLOOKUP(IFERROR(LEFT(playground!L27,SEARCH("|",playground!L27,1)-1),""),$C:$D,2,FALSE)&amp;RIGHT(playground!L27,4),expense!$A:$G,$F$2,FALSE),0)</f>
        <v>0</v>
      </c>
      <c r="L14" s="14">
        <f>IFERROR(VLOOKUP(VLOOKUP(IFERROR(LEFT(playground!M27,SEARCH("|",playground!M27,1)-1),""),$C:$D,2,FALSE)&amp;RIGHT(playground!M27,4),expense!$A:$G,$F$2,FALSE),0)</f>
        <v>0</v>
      </c>
      <c r="M14" s="14">
        <f>IFERROR(VLOOKUP(VLOOKUP(IFERROR(LEFT(playground!N27,SEARCH("|",playground!N27,1)-1),""),$C:$D,2,FALSE)&amp;RIGHT(playground!N27,4),expense!$A:$G,$F$2,FALSE),0)</f>
        <v>0</v>
      </c>
      <c r="N14" s="14">
        <f t="shared" si="3"/>
        <v>0</v>
      </c>
    </row>
    <row r="15" spans="1:14" x14ac:dyDescent="0.25">
      <c r="A15">
        <v>14</v>
      </c>
      <c r="B15" t="str">
        <f>IF(playground!G28=0,"",playground!G28)</f>
        <v/>
      </c>
      <c r="C15" t="str">
        <f t="shared" si="0"/>
        <v/>
      </c>
      <c r="D15" t="str">
        <f t="shared" si="1"/>
        <v/>
      </c>
      <c r="E15" t="str">
        <f t="shared" si="2"/>
        <v/>
      </c>
      <c r="G15" s="14">
        <f>IFERROR(VLOOKUP(VLOOKUP(IFERROR(LEFT(playground!H28,SEARCH("|",playground!H28,1)-1),""),$C:$D,2,FALSE)&amp;RIGHT(playground!H28,4),expense!$A:$G,$F$2,FALSE),0)</f>
        <v>675</v>
      </c>
      <c r="H15" s="14">
        <f>IFERROR(VLOOKUP(VLOOKUP(IFERROR(LEFT(playground!I28,SEARCH("|",playground!I28,1)-1),""),$C:$D,2,FALSE)&amp;RIGHT(playground!I28,4),expense!$A:$G,$F$2,FALSE),0)</f>
        <v>0</v>
      </c>
      <c r="I15" s="14">
        <f>IFERROR(VLOOKUP(VLOOKUP(IFERROR(LEFT(playground!J28,SEARCH("|",playground!J28,1)-1),""),$C:$D,2,FALSE)&amp;RIGHT(playground!J28,4),expense!$A:$G,$F$2,FALSE),0)</f>
        <v>0</v>
      </c>
      <c r="J15" s="14">
        <f>IFERROR(VLOOKUP(VLOOKUP(IFERROR(LEFT(playground!K28,SEARCH("|",playground!K28,1)-1),""),$C:$D,2,FALSE)&amp;RIGHT(playground!K28,4),expense!$A:$G,$F$2,FALSE),0)</f>
        <v>0</v>
      </c>
      <c r="K15" s="14">
        <f>IFERROR(VLOOKUP(VLOOKUP(IFERROR(LEFT(playground!L28,SEARCH("|",playground!L28,1)-1),""),$C:$D,2,FALSE)&amp;RIGHT(playground!L28,4),expense!$A:$G,$F$2,FALSE),0)</f>
        <v>0</v>
      </c>
      <c r="L15" s="14">
        <f>IFERROR(VLOOKUP(VLOOKUP(IFERROR(LEFT(playground!M28,SEARCH("|",playground!M28,1)-1),""),$C:$D,2,FALSE)&amp;RIGHT(playground!M28,4),expense!$A:$G,$F$2,FALSE),0)</f>
        <v>0</v>
      </c>
      <c r="M15" s="14">
        <f>IFERROR(VLOOKUP(VLOOKUP(IFERROR(LEFT(playground!N28,SEARCH("|",playground!N28,1)-1),""),$C:$D,2,FALSE)&amp;RIGHT(playground!N28,4),expense!$A:$G,$F$2,FALSE),0)</f>
        <v>0</v>
      </c>
      <c r="N15" s="14">
        <f t="shared" si="3"/>
        <v>675</v>
      </c>
    </row>
    <row r="16" spans="1:14" x14ac:dyDescent="0.25">
      <c r="A16">
        <v>15</v>
      </c>
      <c r="B16" t="str">
        <f>IF(playground!G29=0,"",playground!G29)</f>
        <v/>
      </c>
      <c r="C16" t="str">
        <f t="shared" si="0"/>
        <v/>
      </c>
      <c r="D16" t="str">
        <f t="shared" si="1"/>
        <v/>
      </c>
      <c r="E16" t="str">
        <f t="shared" si="2"/>
        <v/>
      </c>
      <c r="G16" s="14">
        <f>IFERROR(VLOOKUP(VLOOKUP(IFERROR(LEFT(playground!H29,SEARCH("|",playground!H29,1)-1),""),$C:$D,2,FALSE)&amp;RIGHT(playground!H29,4),expense!$A:$G,$F$2,FALSE),0)</f>
        <v>430</v>
      </c>
      <c r="H16" s="14">
        <f>IFERROR(VLOOKUP(VLOOKUP(IFERROR(LEFT(playground!I29,SEARCH("|",playground!I29,1)-1),""),$C:$D,2,FALSE)&amp;RIGHT(playground!I29,4),expense!$A:$G,$F$2,FALSE),0)</f>
        <v>0</v>
      </c>
      <c r="I16" s="14">
        <f>IFERROR(VLOOKUP(VLOOKUP(IFERROR(LEFT(playground!J29,SEARCH("|",playground!J29,1)-1),""),$C:$D,2,FALSE)&amp;RIGHT(playground!J29,4),expense!$A:$G,$F$2,FALSE),0)</f>
        <v>0</v>
      </c>
      <c r="J16" s="14">
        <f>IFERROR(VLOOKUP(VLOOKUP(IFERROR(LEFT(playground!K29,SEARCH("|",playground!K29,1)-1),""),$C:$D,2,FALSE)&amp;RIGHT(playground!K29,4),expense!$A:$G,$F$2,FALSE),0)</f>
        <v>0</v>
      </c>
      <c r="K16" s="14">
        <f>IFERROR(VLOOKUP(VLOOKUP(IFERROR(LEFT(playground!L29,SEARCH("|",playground!L29,1)-1),""),$C:$D,2,FALSE)&amp;RIGHT(playground!L29,4),expense!$A:$G,$F$2,FALSE),0)</f>
        <v>0</v>
      </c>
      <c r="L16" s="14">
        <f>IFERROR(VLOOKUP(VLOOKUP(IFERROR(LEFT(playground!M29,SEARCH("|",playground!M29,1)-1),""),$C:$D,2,FALSE)&amp;RIGHT(playground!M29,4),expense!$A:$G,$F$2,FALSE),0)</f>
        <v>0</v>
      </c>
      <c r="M16" s="14">
        <f>IFERROR(VLOOKUP(VLOOKUP(IFERROR(LEFT(playground!N29,SEARCH("|",playground!N29,1)-1),""),$C:$D,2,FALSE)&amp;RIGHT(playground!N29,4),expense!$A:$G,$F$2,FALSE),0)</f>
        <v>0</v>
      </c>
      <c r="N16" s="14">
        <f t="shared" si="3"/>
        <v>430</v>
      </c>
    </row>
    <row r="17" spans="1:14" x14ac:dyDescent="0.25">
      <c r="A17">
        <v>16</v>
      </c>
      <c r="B17" t="str">
        <f>IF(playground!G30=0,"",playground!G30)</f>
        <v/>
      </c>
      <c r="C17" t="str">
        <f t="shared" si="0"/>
        <v/>
      </c>
      <c r="D17" t="str">
        <f t="shared" si="1"/>
        <v/>
      </c>
      <c r="E17" t="str">
        <f t="shared" si="2"/>
        <v/>
      </c>
      <c r="G17" s="14">
        <f>IFERROR(VLOOKUP(VLOOKUP(IFERROR(LEFT(playground!H30,SEARCH("|",playground!H30,1)-1),""),$C:$D,2,FALSE)&amp;RIGHT(playground!H30,4),expense!$A:$G,$F$2,FALSE),0)</f>
        <v>0</v>
      </c>
      <c r="H17" s="14">
        <f>IFERROR(VLOOKUP(VLOOKUP(IFERROR(LEFT(playground!I30,SEARCH("|",playground!I30,1)-1),""),$C:$D,2,FALSE)&amp;RIGHT(playground!I30,4),expense!$A:$G,$F$2,FALSE),0)</f>
        <v>0</v>
      </c>
      <c r="I17" s="14">
        <f>IFERROR(VLOOKUP(VLOOKUP(IFERROR(LEFT(playground!J30,SEARCH("|",playground!J30,1)-1),""),$C:$D,2,FALSE)&amp;RIGHT(playground!J30,4),expense!$A:$G,$F$2,FALSE),0)</f>
        <v>0</v>
      </c>
      <c r="J17" s="14">
        <f>IFERROR(VLOOKUP(VLOOKUP(IFERROR(LEFT(playground!K30,SEARCH("|",playground!K30,1)-1),""),$C:$D,2,FALSE)&amp;RIGHT(playground!K30,4),expense!$A:$G,$F$2,FALSE),0)</f>
        <v>0</v>
      </c>
      <c r="K17" s="14">
        <f>IFERROR(VLOOKUP(VLOOKUP(IFERROR(LEFT(playground!L30,SEARCH("|",playground!L30,1)-1),""),$C:$D,2,FALSE)&amp;RIGHT(playground!L30,4),expense!$A:$G,$F$2,FALSE),0)</f>
        <v>0</v>
      </c>
      <c r="L17" s="14">
        <f>IFERROR(VLOOKUP(VLOOKUP(IFERROR(LEFT(playground!M30,SEARCH("|",playground!M30,1)-1),""),$C:$D,2,FALSE)&amp;RIGHT(playground!M30,4),expense!$A:$G,$F$2,FALSE),0)</f>
        <v>0</v>
      </c>
      <c r="M17" s="14">
        <f>IFERROR(VLOOKUP(VLOOKUP(IFERROR(LEFT(playground!N30,SEARCH("|",playground!N30,1)-1),""),$C:$D,2,FALSE)&amp;RIGHT(playground!N30,4),expense!$A:$G,$F$2,FALSE),0)</f>
        <v>0</v>
      </c>
      <c r="N17" s="14">
        <f t="shared" si="3"/>
        <v>0</v>
      </c>
    </row>
    <row r="18" spans="1:14" x14ac:dyDescent="0.25">
      <c r="A18">
        <v>17</v>
      </c>
      <c r="B18" t="str">
        <f>IF(playground!G31=0,"",playground!G31)</f>
        <v/>
      </c>
      <c r="C18" t="str">
        <f t="shared" si="0"/>
        <v/>
      </c>
      <c r="D18" t="str">
        <f t="shared" si="1"/>
        <v/>
      </c>
      <c r="E18" t="str">
        <f t="shared" si="2"/>
        <v/>
      </c>
      <c r="G18" s="14">
        <f>IFERROR(VLOOKUP(VLOOKUP(IFERROR(LEFT(playground!H31,SEARCH("|",playground!H31,1)-1),""),$C:$D,2,FALSE)&amp;RIGHT(playground!H31,4),expense!$A:$G,$F$2,FALSE),0)</f>
        <v>380</v>
      </c>
      <c r="H18" s="14">
        <f>IFERROR(VLOOKUP(VLOOKUP(IFERROR(LEFT(playground!I31,SEARCH("|",playground!I31,1)-1),""),$C:$D,2,FALSE)&amp;RIGHT(playground!I31,4),expense!$A:$G,$F$2,FALSE),0)</f>
        <v>0</v>
      </c>
      <c r="I18" s="14">
        <f>IFERROR(VLOOKUP(VLOOKUP(IFERROR(LEFT(playground!J31,SEARCH("|",playground!J31,1)-1),""),$C:$D,2,FALSE)&amp;RIGHT(playground!J31,4),expense!$A:$G,$F$2,FALSE),0)</f>
        <v>0</v>
      </c>
      <c r="J18" s="14">
        <f>IFERROR(VLOOKUP(VLOOKUP(IFERROR(LEFT(playground!K31,SEARCH("|",playground!K31,1)-1),""),$C:$D,2,FALSE)&amp;RIGHT(playground!K31,4),expense!$A:$G,$F$2,FALSE),0)</f>
        <v>0</v>
      </c>
      <c r="K18" s="14">
        <f>IFERROR(VLOOKUP(VLOOKUP(IFERROR(LEFT(playground!L31,SEARCH("|",playground!L31,1)-1),""),$C:$D,2,FALSE)&amp;RIGHT(playground!L31,4),expense!$A:$G,$F$2,FALSE),0)</f>
        <v>0</v>
      </c>
      <c r="L18" s="14">
        <f>IFERROR(VLOOKUP(VLOOKUP(IFERROR(LEFT(playground!M31,SEARCH("|",playground!M31,1)-1),""),$C:$D,2,FALSE)&amp;RIGHT(playground!M31,4),expense!$A:$G,$F$2,FALSE),0)</f>
        <v>0</v>
      </c>
      <c r="M18" s="14">
        <f>IFERROR(VLOOKUP(VLOOKUP(IFERROR(LEFT(playground!N31,SEARCH("|",playground!N31,1)-1),""),$C:$D,2,FALSE)&amp;RIGHT(playground!N31,4),expense!$A:$G,$F$2,FALSE),0)</f>
        <v>0</v>
      </c>
      <c r="N18" s="14">
        <f t="shared" si="3"/>
        <v>380</v>
      </c>
    </row>
    <row r="19" spans="1:14" x14ac:dyDescent="0.25">
      <c r="A19">
        <v>18</v>
      </c>
      <c r="B19" t="str">
        <f>IF(playground!G32=0,"",playground!G32)</f>
        <v/>
      </c>
      <c r="C19" t="str">
        <f t="shared" si="0"/>
        <v/>
      </c>
      <c r="D19" t="str">
        <f t="shared" si="1"/>
        <v/>
      </c>
      <c r="E19" t="str">
        <f t="shared" si="2"/>
        <v/>
      </c>
      <c r="G19" s="14">
        <f>IFERROR(VLOOKUP(VLOOKUP(IFERROR(LEFT(playground!H32,SEARCH("|",playground!H32,1)-1),""),$C:$D,2,FALSE)&amp;RIGHT(playground!H32,4),expense!$A:$G,$F$2,FALSE),0)</f>
        <v>270</v>
      </c>
      <c r="H19" s="14">
        <f>IFERROR(VLOOKUP(VLOOKUP(IFERROR(LEFT(playground!I32,SEARCH("|",playground!I32,1)-1),""),$C:$D,2,FALSE)&amp;RIGHT(playground!I32,4),expense!$A:$G,$F$2,FALSE),0)</f>
        <v>0</v>
      </c>
      <c r="I19" s="14">
        <f>IFERROR(VLOOKUP(VLOOKUP(IFERROR(LEFT(playground!J32,SEARCH("|",playground!J32,1)-1),""),$C:$D,2,FALSE)&amp;RIGHT(playground!J32,4),expense!$A:$G,$F$2,FALSE),0)</f>
        <v>0</v>
      </c>
      <c r="J19" s="14">
        <f>IFERROR(VLOOKUP(VLOOKUP(IFERROR(LEFT(playground!K32,SEARCH("|",playground!K32,1)-1),""),$C:$D,2,FALSE)&amp;RIGHT(playground!K32,4),expense!$A:$G,$F$2,FALSE),0)</f>
        <v>0</v>
      </c>
      <c r="K19" s="14">
        <f>IFERROR(VLOOKUP(VLOOKUP(IFERROR(LEFT(playground!L32,SEARCH("|",playground!L32,1)-1),""),$C:$D,2,FALSE)&amp;RIGHT(playground!L32,4),expense!$A:$G,$F$2,FALSE),0)</f>
        <v>0</v>
      </c>
      <c r="L19" s="14">
        <f>IFERROR(VLOOKUP(VLOOKUP(IFERROR(LEFT(playground!M32,SEARCH("|",playground!M32,1)-1),""),$C:$D,2,FALSE)&amp;RIGHT(playground!M32,4),expense!$A:$G,$F$2,FALSE),0)</f>
        <v>0</v>
      </c>
      <c r="M19" s="14">
        <f>IFERROR(VLOOKUP(VLOOKUP(IFERROR(LEFT(playground!N32,SEARCH("|",playground!N32,1)-1),""),$C:$D,2,FALSE)&amp;RIGHT(playground!N32,4),expense!$A:$G,$F$2,FALSE),0)</f>
        <v>0</v>
      </c>
      <c r="N19" s="14">
        <f t="shared" si="3"/>
        <v>270</v>
      </c>
    </row>
    <row r="20" spans="1:14" x14ac:dyDescent="0.25">
      <c r="A20">
        <v>19</v>
      </c>
      <c r="B20" t="str">
        <f>IF(playground!G33=0,"",playground!G33)</f>
        <v/>
      </c>
      <c r="C20" t="str">
        <f t="shared" si="0"/>
        <v/>
      </c>
      <c r="D20" t="str">
        <f t="shared" si="1"/>
        <v/>
      </c>
      <c r="E20" t="str">
        <f t="shared" si="2"/>
        <v/>
      </c>
      <c r="G20" s="14">
        <f>IFERROR(VLOOKUP(VLOOKUP(IFERROR(LEFT(playground!H33,SEARCH("|",playground!H33,1)-1),""),$C:$D,2,FALSE)&amp;RIGHT(playground!H33,4),expense!$A:$G,$F$2,FALSE),0)</f>
        <v>380</v>
      </c>
      <c r="H20" s="14">
        <f>IFERROR(VLOOKUP(VLOOKUP(IFERROR(LEFT(playground!I33,SEARCH("|",playground!I33,1)-1),""),$C:$D,2,FALSE)&amp;RIGHT(playground!I33,4),expense!$A:$G,$F$2,FALSE),0)</f>
        <v>0</v>
      </c>
      <c r="I20" s="14">
        <f>IFERROR(VLOOKUP(VLOOKUP(IFERROR(LEFT(playground!J33,SEARCH("|",playground!J33,1)-1),""),$C:$D,2,FALSE)&amp;RIGHT(playground!J33,4),expense!$A:$G,$F$2,FALSE),0)</f>
        <v>0</v>
      </c>
      <c r="J20" s="14">
        <f>IFERROR(VLOOKUP(VLOOKUP(IFERROR(LEFT(playground!K33,SEARCH("|",playground!K33,1)-1),""),$C:$D,2,FALSE)&amp;RIGHT(playground!K33,4),expense!$A:$G,$F$2,FALSE),0)</f>
        <v>0</v>
      </c>
      <c r="K20" s="14">
        <f>IFERROR(VLOOKUP(VLOOKUP(IFERROR(LEFT(playground!L33,SEARCH("|",playground!L33,1)-1),""),$C:$D,2,FALSE)&amp;RIGHT(playground!L33,4),expense!$A:$G,$F$2,FALSE),0)</f>
        <v>0</v>
      </c>
      <c r="L20" s="14">
        <f>IFERROR(VLOOKUP(VLOOKUP(IFERROR(LEFT(playground!M33,SEARCH("|",playground!M33,1)-1),""),$C:$D,2,FALSE)&amp;RIGHT(playground!M33,4),expense!$A:$G,$F$2,FALSE),0)</f>
        <v>0</v>
      </c>
      <c r="M20" s="14">
        <f>IFERROR(VLOOKUP(VLOOKUP(IFERROR(LEFT(playground!N33,SEARCH("|",playground!N33,1)-1),""),$C:$D,2,FALSE)&amp;RIGHT(playground!N33,4),expense!$A:$G,$F$2,FALSE),0)</f>
        <v>0</v>
      </c>
      <c r="N20" s="14">
        <f t="shared" si="3"/>
        <v>380</v>
      </c>
    </row>
    <row r="21" spans="1:14" x14ac:dyDescent="0.25">
      <c r="A21">
        <v>20</v>
      </c>
      <c r="B21" t="str">
        <f>IF(playground!G34=0,"",playground!G34)</f>
        <v/>
      </c>
      <c r="C21" t="str">
        <f t="shared" si="0"/>
        <v/>
      </c>
      <c r="D21" t="str">
        <f t="shared" si="1"/>
        <v/>
      </c>
      <c r="E21" t="str">
        <f t="shared" si="2"/>
        <v/>
      </c>
      <c r="G21" s="14">
        <f>IFERROR(VLOOKUP(VLOOKUP(IFERROR(LEFT(playground!H34,SEARCH("|",playground!H34,1)-1),""),$C:$D,2,FALSE)&amp;RIGHT(playground!H34,4),expense!$A:$G,$F$2,FALSE),0)</f>
        <v>0</v>
      </c>
      <c r="H21" s="14">
        <f>IFERROR(VLOOKUP(VLOOKUP(IFERROR(LEFT(playground!I34,SEARCH("|",playground!I34,1)-1),""),$C:$D,2,FALSE)&amp;RIGHT(playground!I34,4),expense!$A:$G,$F$2,FALSE),0)</f>
        <v>0</v>
      </c>
      <c r="I21" s="14">
        <f>IFERROR(VLOOKUP(VLOOKUP(IFERROR(LEFT(playground!J34,SEARCH("|",playground!J34,1)-1),""),$C:$D,2,FALSE)&amp;RIGHT(playground!J34,4),expense!$A:$G,$F$2,FALSE),0)</f>
        <v>0</v>
      </c>
      <c r="J21" s="14">
        <f>IFERROR(VLOOKUP(VLOOKUP(IFERROR(LEFT(playground!K34,SEARCH("|",playground!K34,1)-1),""),$C:$D,2,FALSE)&amp;RIGHT(playground!K34,4),expense!$A:$G,$F$2,FALSE),0)</f>
        <v>0</v>
      </c>
      <c r="K21" s="14">
        <f>IFERROR(VLOOKUP(VLOOKUP(IFERROR(LEFT(playground!L34,SEARCH("|",playground!L34,1)-1),""),$C:$D,2,FALSE)&amp;RIGHT(playground!L34,4),expense!$A:$G,$F$2,FALSE),0)</f>
        <v>0</v>
      </c>
      <c r="L21" s="14">
        <f>IFERROR(VLOOKUP(VLOOKUP(IFERROR(LEFT(playground!M34,SEARCH("|",playground!M34,1)-1),""),$C:$D,2,FALSE)&amp;RIGHT(playground!M34,4),expense!$A:$G,$F$2,FALSE),0)</f>
        <v>0</v>
      </c>
      <c r="M21" s="14">
        <f>IFERROR(VLOOKUP(VLOOKUP(IFERROR(LEFT(playground!N34,SEARCH("|",playground!N34,1)-1),""),$C:$D,2,FALSE)&amp;RIGHT(playground!N34,4),expense!$A:$G,$F$2,FALSE),0)</f>
        <v>0</v>
      </c>
      <c r="N21" s="14">
        <f t="shared" si="3"/>
        <v>0</v>
      </c>
    </row>
    <row r="22" spans="1:14" x14ac:dyDescent="0.25">
      <c r="A22">
        <v>21</v>
      </c>
      <c r="B22" t="str">
        <f>IF(playground!G35=0,"",playground!G35)</f>
        <v/>
      </c>
      <c r="C22" t="str">
        <f t="shared" si="0"/>
        <v/>
      </c>
      <c r="D22" t="str">
        <f t="shared" si="1"/>
        <v/>
      </c>
      <c r="E22" t="str">
        <f t="shared" si="2"/>
        <v/>
      </c>
      <c r="G22" s="14">
        <f>IFERROR(VLOOKUP(VLOOKUP(IFERROR(LEFT(playground!H35,SEARCH("|",playground!H35,1)-1),""),$C:$D,2,FALSE)&amp;RIGHT(playground!H35,4),expense!$A:$G,$F$2,FALSE),0)</f>
        <v>0</v>
      </c>
      <c r="H22" s="14">
        <f>IFERROR(VLOOKUP(VLOOKUP(IFERROR(LEFT(playground!I35,SEARCH("|",playground!I35,1)-1),""),$C:$D,2,FALSE)&amp;RIGHT(playground!I35,4),expense!$A:$G,$F$2,FALSE),0)</f>
        <v>0</v>
      </c>
      <c r="I22" s="14">
        <f>IFERROR(VLOOKUP(VLOOKUP(IFERROR(LEFT(playground!J35,SEARCH("|",playground!J35,1)-1),""),$C:$D,2,FALSE)&amp;RIGHT(playground!J35,4),expense!$A:$G,$F$2,FALSE),0)</f>
        <v>0</v>
      </c>
      <c r="J22" s="14">
        <f>IFERROR(VLOOKUP(VLOOKUP(IFERROR(LEFT(playground!K35,SEARCH("|",playground!K35,1)-1),""),$C:$D,2,FALSE)&amp;RIGHT(playground!K35,4),expense!$A:$G,$F$2,FALSE),0)</f>
        <v>0</v>
      </c>
      <c r="K22" s="14">
        <f>IFERROR(VLOOKUP(VLOOKUP(IFERROR(LEFT(playground!L35,SEARCH("|",playground!L35,1)-1),""),$C:$D,2,FALSE)&amp;RIGHT(playground!L35,4),expense!$A:$G,$F$2,FALSE),0)</f>
        <v>0</v>
      </c>
      <c r="L22" s="14">
        <f>IFERROR(VLOOKUP(VLOOKUP(IFERROR(LEFT(playground!M35,SEARCH("|",playground!M35,1)-1),""),$C:$D,2,FALSE)&amp;RIGHT(playground!M35,4),expense!$A:$G,$F$2,FALSE),0)</f>
        <v>0</v>
      </c>
      <c r="M22" s="14">
        <f>IFERROR(VLOOKUP(VLOOKUP(IFERROR(LEFT(playground!N35,SEARCH("|",playground!N35,1)-1),""),$C:$D,2,FALSE)&amp;RIGHT(playground!N35,4),expense!$A:$G,$F$2,FALSE),0)</f>
        <v>0</v>
      </c>
      <c r="N22" s="14">
        <f t="shared" si="3"/>
        <v>0</v>
      </c>
    </row>
    <row r="23" spans="1:14" x14ac:dyDescent="0.25">
      <c r="A23">
        <v>22</v>
      </c>
      <c r="B23" t="str">
        <f>IF(playground!G36=0,"",playground!G36)</f>
        <v/>
      </c>
      <c r="C23" t="str">
        <f t="shared" si="0"/>
        <v/>
      </c>
      <c r="D23" t="str">
        <f t="shared" si="1"/>
        <v/>
      </c>
      <c r="E23" t="str">
        <f t="shared" si="2"/>
        <v/>
      </c>
      <c r="G23" s="14">
        <f>IFERROR(VLOOKUP(VLOOKUP(IFERROR(LEFT(playground!H36,SEARCH("|",playground!H36,1)-1),""),$C:$D,2,FALSE)&amp;RIGHT(playground!H36,4),expense!$A:$G,$F$2,FALSE),0)</f>
        <v>0</v>
      </c>
      <c r="H23" s="14">
        <f>IFERROR(VLOOKUP(VLOOKUP(IFERROR(LEFT(playground!I36,SEARCH("|",playground!I36,1)-1),""),$C:$D,2,FALSE)&amp;RIGHT(playground!I36,4),expense!$A:$G,$F$2,FALSE),0)</f>
        <v>0</v>
      </c>
      <c r="I23" s="14">
        <f>IFERROR(VLOOKUP(VLOOKUP(IFERROR(LEFT(playground!J36,SEARCH("|",playground!J36,1)-1),""),$C:$D,2,FALSE)&amp;RIGHT(playground!J36,4),expense!$A:$G,$F$2,FALSE),0)</f>
        <v>0</v>
      </c>
      <c r="J23" s="14">
        <f>IFERROR(VLOOKUP(VLOOKUP(IFERROR(LEFT(playground!K36,SEARCH("|",playground!K36,1)-1),""),$C:$D,2,FALSE)&amp;RIGHT(playground!K36,4),expense!$A:$G,$F$2,FALSE),0)</f>
        <v>0</v>
      </c>
      <c r="K23" s="14">
        <f>IFERROR(VLOOKUP(VLOOKUP(IFERROR(LEFT(playground!L36,SEARCH("|",playground!L36,1)-1),""),$C:$D,2,FALSE)&amp;RIGHT(playground!L36,4),expense!$A:$G,$F$2,FALSE),0)</f>
        <v>0</v>
      </c>
      <c r="L23" s="14">
        <f>IFERROR(VLOOKUP(VLOOKUP(IFERROR(LEFT(playground!M36,SEARCH("|",playground!M36,1)-1),""),$C:$D,2,FALSE)&amp;RIGHT(playground!M36,4),expense!$A:$G,$F$2,FALSE),0)</f>
        <v>0</v>
      </c>
      <c r="M23" s="14">
        <f>IFERROR(VLOOKUP(VLOOKUP(IFERROR(LEFT(playground!N36,SEARCH("|",playground!N36,1)-1),""),$C:$D,2,FALSE)&amp;RIGHT(playground!N36,4),expense!$A:$G,$F$2,FALSE),0)</f>
        <v>0</v>
      </c>
      <c r="N23" s="14">
        <f t="shared" si="3"/>
        <v>0</v>
      </c>
    </row>
    <row r="24" spans="1:14" x14ac:dyDescent="0.25">
      <c r="A24">
        <v>23</v>
      </c>
      <c r="B24" t="str">
        <f>IF(playground!G37=0,"",playground!G37)</f>
        <v/>
      </c>
      <c r="C24" t="str">
        <f t="shared" si="0"/>
        <v/>
      </c>
      <c r="D24" t="str">
        <f t="shared" si="1"/>
        <v/>
      </c>
      <c r="E24" t="str">
        <f t="shared" si="2"/>
        <v/>
      </c>
      <c r="G24" s="14">
        <f>IFERROR(VLOOKUP(VLOOKUP(IFERROR(LEFT(playground!H37,SEARCH("|",playground!H37,1)-1),""),$C:$D,2,FALSE)&amp;RIGHT(playground!H37,4),expense!$A:$G,$F$2,FALSE),0)</f>
        <v>1135</v>
      </c>
      <c r="H24" s="14">
        <f>IFERROR(VLOOKUP(VLOOKUP(IFERROR(LEFT(playground!I37,SEARCH("|",playground!I37,1)-1),""),$C:$D,2,FALSE)&amp;RIGHT(playground!I37,4),expense!$A:$G,$F$2,FALSE),0)</f>
        <v>0</v>
      </c>
      <c r="I24" s="14">
        <f>IFERROR(VLOOKUP(VLOOKUP(IFERROR(LEFT(playground!J37,SEARCH("|",playground!J37,1)-1),""),$C:$D,2,FALSE)&amp;RIGHT(playground!J37,4),expense!$A:$G,$F$2,FALSE),0)</f>
        <v>0</v>
      </c>
      <c r="J24" s="14">
        <f>IFERROR(VLOOKUP(VLOOKUP(IFERROR(LEFT(playground!K37,SEARCH("|",playground!K37,1)-1),""),$C:$D,2,FALSE)&amp;RIGHT(playground!K37,4),expense!$A:$G,$F$2,FALSE),0)</f>
        <v>0</v>
      </c>
      <c r="K24" s="14">
        <f>IFERROR(VLOOKUP(VLOOKUP(IFERROR(LEFT(playground!L37,SEARCH("|",playground!L37,1)-1),""),$C:$D,2,FALSE)&amp;RIGHT(playground!L37,4),expense!$A:$G,$F$2,FALSE),0)</f>
        <v>0</v>
      </c>
      <c r="L24" s="14">
        <f>IFERROR(VLOOKUP(VLOOKUP(IFERROR(LEFT(playground!M37,SEARCH("|",playground!M37,1)-1),""),$C:$D,2,FALSE)&amp;RIGHT(playground!M37,4),expense!$A:$G,$F$2,FALSE),0)</f>
        <v>0</v>
      </c>
      <c r="M24" s="14">
        <f>IFERROR(VLOOKUP(VLOOKUP(IFERROR(LEFT(playground!N37,SEARCH("|",playground!N37,1)-1),""),$C:$D,2,FALSE)&amp;RIGHT(playground!N37,4),expense!$A:$G,$F$2,FALSE),0)</f>
        <v>0</v>
      </c>
      <c r="N24" s="14">
        <f t="shared" si="3"/>
        <v>1135</v>
      </c>
    </row>
    <row r="25" spans="1:14" x14ac:dyDescent="0.25">
      <c r="A25">
        <v>24</v>
      </c>
      <c r="B25" t="str">
        <f>IF(playground!G38=0,"",playground!G38)</f>
        <v/>
      </c>
      <c r="C25" t="str">
        <f t="shared" si="0"/>
        <v/>
      </c>
      <c r="D25" t="str">
        <f t="shared" si="1"/>
        <v/>
      </c>
      <c r="E25" t="str">
        <f t="shared" si="2"/>
        <v/>
      </c>
      <c r="G25" s="14">
        <f>IFERROR(VLOOKUP(VLOOKUP(IFERROR(LEFT(playground!H38,SEARCH("|",playground!H38,1)-1),""),$C:$D,2,FALSE)&amp;RIGHT(playground!H38,4),expense!$A:$G,$F$2,FALSE),0)</f>
        <v>0</v>
      </c>
      <c r="H25" s="14">
        <f>IFERROR(VLOOKUP(VLOOKUP(IFERROR(LEFT(playground!I38,SEARCH("|",playground!I38,1)-1),""),$C:$D,2,FALSE)&amp;RIGHT(playground!I38,4),expense!$A:$G,$F$2,FALSE),0)</f>
        <v>0</v>
      </c>
      <c r="I25" s="14">
        <f>IFERROR(VLOOKUP(VLOOKUP(IFERROR(LEFT(playground!J38,SEARCH("|",playground!J38,1)-1),""),$C:$D,2,FALSE)&amp;RIGHT(playground!J38,4),expense!$A:$G,$F$2,FALSE),0)</f>
        <v>0</v>
      </c>
      <c r="J25" s="14">
        <f>IFERROR(VLOOKUP(VLOOKUP(IFERROR(LEFT(playground!K38,SEARCH("|",playground!K38,1)-1),""),$C:$D,2,FALSE)&amp;RIGHT(playground!K38,4),expense!$A:$G,$F$2,FALSE),0)</f>
        <v>0</v>
      </c>
      <c r="K25" s="14">
        <f>IFERROR(VLOOKUP(VLOOKUP(IFERROR(LEFT(playground!L38,SEARCH("|",playground!L38,1)-1),""),$C:$D,2,FALSE)&amp;RIGHT(playground!L38,4),expense!$A:$G,$F$2,FALSE),0)</f>
        <v>0</v>
      </c>
      <c r="L25" s="14">
        <f>IFERROR(VLOOKUP(VLOOKUP(IFERROR(LEFT(playground!M38,SEARCH("|",playground!M38,1)-1),""),$C:$D,2,FALSE)&amp;RIGHT(playground!M38,4),expense!$A:$G,$F$2,FALSE),0)</f>
        <v>0</v>
      </c>
      <c r="M25" s="14">
        <f>IFERROR(VLOOKUP(VLOOKUP(IFERROR(LEFT(playground!N38,SEARCH("|",playground!N38,1)-1),""),$C:$D,2,FALSE)&amp;RIGHT(playground!N38,4),expense!$A:$G,$F$2,FALSE),0)</f>
        <v>0</v>
      </c>
      <c r="N25" s="14">
        <f t="shared" si="3"/>
        <v>0</v>
      </c>
    </row>
    <row r="26" spans="1:14" x14ac:dyDescent="0.25">
      <c r="A26">
        <v>25</v>
      </c>
      <c r="B26" t="str">
        <f>IF(playground!G39=0,"",playground!G39)</f>
        <v/>
      </c>
      <c r="C26" t="str">
        <f t="shared" si="0"/>
        <v/>
      </c>
      <c r="D26" t="str">
        <f t="shared" si="1"/>
        <v/>
      </c>
      <c r="E26" t="str">
        <f t="shared" si="2"/>
        <v/>
      </c>
      <c r="G26" s="14">
        <f>IFERROR(VLOOKUP(VLOOKUP(IFERROR(LEFT(playground!H39,SEARCH("|",playground!H39,1)-1),""),$C:$D,2,FALSE)&amp;RIGHT(playground!H39,4),expense!$A:$G,$F$2,FALSE),0)</f>
        <v>0</v>
      </c>
      <c r="H26" s="14">
        <f>IFERROR(VLOOKUP(VLOOKUP(IFERROR(LEFT(playground!I39,SEARCH("|",playground!I39,1)-1),""),$C:$D,2,FALSE)&amp;RIGHT(playground!I39,4),expense!$A:$G,$F$2,FALSE),0)</f>
        <v>0</v>
      </c>
      <c r="I26" s="14">
        <f>IFERROR(VLOOKUP(VLOOKUP(IFERROR(LEFT(playground!J39,SEARCH("|",playground!J39,1)-1),""),$C:$D,2,FALSE)&amp;RIGHT(playground!J39,4),expense!$A:$G,$F$2,FALSE),0)</f>
        <v>0</v>
      </c>
      <c r="J26" s="14">
        <f>IFERROR(VLOOKUP(VLOOKUP(IFERROR(LEFT(playground!K39,SEARCH("|",playground!K39,1)-1),""),$C:$D,2,FALSE)&amp;RIGHT(playground!K39,4),expense!$A:$G,$F$2,FALSE),0)</f>
        <v>0</v>
      </c>
      <c r="K26" s="14">
        <f>IFERROR(VLOOKUP(VLOOKUP(IFERROR(LEFT(playground!L39,SEARCH("|",playground!L39,1)-1),""),$C:$D,2,FALSE)&amp;RIGHT(playground!L39,4),expense!$A:$G,$F$2,FALSE),0)</f>
        <v>0</v>
      </c>
      <c r="L26" s="14">
        <f>IFERROR(VLOOKUP(VLOOKUP(IFERROR(LEFT(playground!M39,SEARCH("|",playground!M39,1)-1),""),$C:$D,2,FALSE)&amp;RIGHT(playground!M39,4),expense!$A:$G,$F$2,FALSE),0)</f>
        <v>0</v>
      </c>
      <c r="M26" s="14">
        <f>IFERROR(VLOOKUP(VLOOKUP(IFERROR(LEFT(playground!N39,SEARCH("|",playground!N39,1)-1),""),$C:$D,2,FALSE)&amp;RIGHT(playground!N39,4),expense!$A:$G,$F$2,FALSE),0)</f>
        <v>0</v>
      </c>
      <c r="N26" s="14">
        <f t="shared" si="3"/>
        <v>0</v>
      </c>
    </row>
    <row r="27" spans="1:14" x14ac:dyDescent="0.25">
      <c r="A27">
        <v>26</v>
      </c>
      <c r="B27" t="str">
        <f>IF(playground!G40=0,"",playground!G40)</f>
        <v/>
      </c>
      <c r="C27" t="str">
        <f t="shared" si="0"/>
        <v/>
      </c>
      <c r="D27" t="str">
        <f t="shared" si="1"/>
        <v/>
      </c>
      <c r="E27" t="str">
        <f t="shared" si="2"/>
        <v/>
      </c>
      <c r="G27" s="14">
        <f>IFERROR(VLOOKUP(VLOOKUP(IFERROR(LEFT(playground!H40,SEARCH("|",playground!H40,1)-1),""),$C:$D,2,FALSE)&amp;RIGHT(playground!H40,4),expense!$A:$G,$F$2,FALSE),0)</f>
        <v>0</v>
      </c>
      <c r="H27" s="14">
        <f>IFERROR(VLOOKUP(VLOOKUP(IFERROR(LEFT(playground!I40,SEARCH("|",playground!I40,1)-1),""),$C:$D,2,FALSE)&amp;RIGHT(playground!I40,4),expense!$A:$G,$F$2,FALSE),0)</f>
        <v>0</v>
      </c>
      <c r="I27" s="14">
        <f>IFERROR(VLOOKUP(VLOOKUP(IFERROR(LEFT(playground!J40,SEARCH("|",playground!J40,1)-1),""),$C:$D,2,FALSE)&amp;RIGHT(playground!J40,4),expense!$A:$G,$F$2,FALSE),0)</f>
        <v>0</v>
      </c>
      <c r="J27" s="14">
        <f>IFERROR(VLOOKUP(VLOOKUP(IFERROR(LEFT(playground!K40,SEARCH("|",playground!K40,1)-1),""),$C:$D,2,FALSE)&amp;RIGHT(playground!K40,4),expense!$A:$G,$F$2,FALSE),0)</f>
        <v>0</v>
      </c>
      <c r="K27" s="14">
        <f>IFERROR(VLOOKUP(VLOOKUP(IFERROR(LEFT(playground!L40,SEARCH("|",playground!L40,1)-1),""),$C:$D,2,FALSE)&amp;RIGHT(playground!L40,4),expense!$A:$G,$F$2,FALSE),0)</f>
        <v>0</v>
      </c>
      <c r="L27" s="14">
        <f>IFERROR(VLOOKUP(VLOOKUP(IFERROR(LEFT(playground!M40,SEARCH("|",playground!M40,1)-1),""),$C:$D,2,FALSE)&amp;RIGHT(playground!M40,4),expense!$A:$G,$F$2,FALSE),0)</f>
        <v>0</v>
      </c>
      <c r="M27" s="14">
        <f>IFERROR(VLOOKUP(VLOOKUP(IFERROR(LEFT(playground!N40,SEARCH("|",playground!N40,1)-1),""),$C:$D,2,FALSE)&amp;RIGHT(playground!N40,4),expense!$A:$G,$F$2,FALSE),0)</f>
        <v>0</v>
      </c>
      <c r="N27" s="14">
        <f t="shared" si="3"/>
        <v>0</v>
      </c>
    </row>
    <row r="28" spans="1:14" x14ac:dyDescent="0.25">
      <c r="A28">
        <v>27</v>
      </c>
      <c r="B28" t="str">
        <f>IF(playground!G41=0,"",playground!G41)</f>
        <v/>
      </c>
      <c r="C28" t="str">
        <f t="shared" si="0"/>
        <v/>
      </c>
      <c r="D28" t="str">
        <f t="shared" si="1"/>
        <v/>
      </c>
      <c r="E28" t="str">
        <f t="shared" si="2"/>
        <v/>
      </c>
      <c r="G28" s="14">
        <f>IFERROR(VLOOKUP(VLOOKUP(IFERROR(LEFT(playground!H41,SEARCH("|",playground!H41,1)-1),""),$C:$D,2,FALSE)&amp;RIGHT(playground!H41,4),expense!$A:$G,$F$2,FALSE),0)</f>
        <v>0</v>
      </c>
      <c r="H28" s="14">
        <f>IFERROR(VLOOKUP(VLOOKUP(IFERROR(LEFT(playground!I41,SEARCH("|",playground!I41,1)-1),""),$C:$D,2,FALSE)&amp;RIGHT(playground!I41,4),expense!$A:$G,$F$2,FALSE),0)</f>
        <v>0</v>
      </c>
      <c r="I28" s="14">
        <f>IFERROR(VLOOKUP(VLOOKUP(IFERROR(LEFT(playground!J41,SEARCH("|",playground!J41,1)-1),""),$C:$D,2,FALSE)&amp;RIGHT(playground!J41,4),expense!$A:$G,$F$2,FALSE),0)</f>
        <v>0</v>
      </c>
      <c r="J28" s="14">
        <f>IFERROR(VLOOKUP(VLOOKUP(IFERROR(LEFT(playground!K41,SEARCH("|",playground!K41,1)-1),""),$C:$D,2,FALSE)&amp;RIGHT(playground!K41,4),expense!$A:$G,$F$2,FALSE),0)</f>
        <v>0</v>
      </c>
      <c r="K28" s="14">
        <f>IFERROR(VLOOKUP(VLOOKUP(IFERROR(LEFT(playground!L41,SEARCH("|",playground!L41,1)-1),""),$C:$D,2,FALSE)&amp;RIGHT(playground!L41,4),expense!$A:$G,$F$2,FALSE),0)</f>
        <v>0</v>
      </c>
      <c r="L28" s="14">
        <f>IFERROR(VLOOKUP(VLOOKUP(IFERROR(LEFT(playground!M41,SEARCH("|",playground!M41,1)-1),""),$C:$D,2,FALSE)&amp;RIGHT(playground!M41,4),expense!$A:$G,$F$2,FALSE),0)</f>
        <v>0</v>
      </c>
      <c r="M28" s="14">
        <f>IFERROR(VLOOKUP(VLOOKUP(IFERROR(LEFT(playground!N41,SEARCH("|",playground!N41,1)-1),""),$C:$D,2,FALSE)&amp;RIGHT(playground!N41,4),expense!$A:$G,$F$2,FALSE),0)</f>
        <v>0</v>
      </c>
      <c r="N28" s="14">
        <f t="shared" si="3"/>
        <v>0</v>
      </c>
    </row>
    <row r="29" spans="1:14" x14ac:dyDescent="0.25">
      <c r="A29">
        <v>28</v>
      </c>
      <c r="B29" t="str">
        <f>IF(playground!G42=0,"",playground!G42)</f>
        <v/>
      </c>
      <c r="C29" t="str">
        <f t="shared" si="0"/>
        <v/>
      </c>
      <c r="D29" t="str">
        <f t="shared" si="1"/>
        <v/>
      </c>
      <c r="E29" t="str">
        <f t="shared" si="2"/>
        <v/>
      </c>
      <c r="G29" s="14">
        <f>IFERROR(VLOOKUP(VLOOKUP(IFERROR(LEFT(playground!H42,SEARCH("|",playground!H42,1)-1),""),$C:$D,2,FALSE)&amp;RIGHT(playground!H42,4),expense!$A:$G,$F$2,FALSE),0)</f>
        <v>0</v>
      </c>
      <c r="H29" s="14">
        <f>IFERROR(VLOOKUP(VLOOKUP(IFERROR(LEFT(playground!I42,SEARCH("|",playground!I42,1)-1),""),$C:$D,2,FALSE)&amp;RIGHT(playground!I42,4),expense!$A:$G,$F$2,FALSE),0)</f>
        <v>0</v>
      </c>
      <c r="I29" s="14">
        <f>IFERROR(VLOOKUP(VLOOKUP(IFERROR(LEFT(playground!J42,SEARCH("|",playground!J42,1)-1),""),$C:$D,2,FALSE)&amp;RIGHT(playground!J42,4),expense!$A:$G,$F$2,FALSE),0)</f>
        <v>0</v>
      </c>
      <c r="J29" s="14">
        <f>IFERROR(VLOOKUP(VLOOKUP(IFERROR(LEFT(playground!K42,SEARCH("|",playground!K42,1)-1),""),$C:$D,2,FALSE)&amp;RIGHT(playground!K42,4),expense!$A:$G,$F$2,FALSE),0)</f>
        <v>0</v>
      </c>
      <c r="K29" s="14">
        <f>IFERROR(VLOOKUP(VLOOKUP(IFERROR(LEFT(playground!L42,SEARCH("|",playground!L42,1)-1),""),$C:$D,2,FALSE)&amp;RIGHT(playground!L42,4),expense!$A:$G,$F$2,FALSE),0)</f>
        <v>0</v>
      </c>
      <c r="L29" s="14">
        <f>IFERROR(VLOOKUP(VLOOKUP(IFERROR(LEFT(playground!M42,SEARCH("|",playground!M42,1)-1),""),$C:$D,2,FALSE)&amp;RIGHT(playground!M42,4),expense!$A:$G,$F$2,FALSE),0)</f>
        <v>0</v>
      </c>
      <c r="M29" s="14">
        <f>IFERROR(VLOOKUP(VLOOKUP(IFERROR(LEFT(playground!N42,SEARCH("|",playground!N42,1)-1),""),$C:$D,2,FALSE)&amp;RIGHT(playground!N42,4),expense!$A:$G,$F$2,FALSE),0)</f>
        <v>0</v>
      </c>
      <c r="N29" s="14">
        <f t="shared" si="3"/>
        <v>0</v>
      </c>
    </row>
    <row r="30" spans="1:14" x14ac:dyDescent="0.25">
      <c r="A30">
        <v>29</v>
      </c>
      <c r="B30" t="str">
        <f>IF(playground!G43=0,"",playground!G43)</f>
        <v/>
      </c>
      <c r="C30" t="str">
        <f t="shared" si="0"/>
        <v/>
      </c>
      <c r="D30" t="str">
        <f t="shared" si="1"/>
        <v/>
      </c>
      <c r="E30" t="str">
        <f t="shared" si="2"/>
        <v/>
      </c>
      <c r="G30" s="14">
        <f>IFERROR(VLOOKUP(VLOOKUP(IFERROR(LEFT(playground!H43,SEARCH("|",playground!H43,1)-1),""),$C:$D,2,FALSE)&amp;RIGHT(playground!H43,4),expense!$A:$G,$F$2,FALSE),0)</f>
        <v>0</v>
      </c>
      <c r="H30" s="14">
        <f>IFERROR(VLOOKUP(VLOOKUP(IFERROR(LEFT(playground!I43,SEARCH("|",playground!I43,1)-1),""),$C:$D,2,FALSE)&amp;RIGHT(playground!I43,4),expense!$A:$G,$F$2,FALSE),0)</f>
        <v>0</v>
      </c>
      <c r="I30" s="14">
        <f>IFERROR(VLOOKUP(VLOOKUP(IFERROR(LEFT(playground!J43,SEARCH("|",playground!J43,1)-1),""),$C:$D,2,FALSE)&amp;RIGHT(playground!J43,4),expense!$A:$G,$F$2,FALSE),0)</f>
        <v>0</v>
      </c>
      <c r="J30" s="14">
        <f>IFERROR(VLOOKUP(VLOOKUP(IFERROR(LEFT(playground!K43,SEARCH("|",playground!K43,1)-1),""),$C:$D,2,FALSE)&amp;RIGHT(playground!K43,4),expense!$A:$G,$F$2,FALSE),0)</f>
        <v>0</v>
      </c>
      <c r="K30" s="14">
        <f>IFERROR(VLOOKUP(VLOOKUP(IFERROR(LEFT(playground!L43,SEARCH("|",playground!L43,1)-1),""),$C:$D,2,FALSE)&amp;RIGHT(playground!L43,4),expense!$A:$G,$F$2,FALSE),0)</f>
        <v>0</v>
      </c>
      <c r="L30" s="14">
        <f>IFERROR(VLOOKUP(VLOOKUP(IFERROR(LEFT(playground!M43,SEARCH("|",playground!M43,1)-1),""),$C:$D,2,FALSE)&amp;RIGHT(playground!M43,4),expense!$A:$G,$F$2,FALSE),0)</f>
        <v>0</v>
      </c>
      <c r="M30" s="14">
        <f>IFERROR(VLOOKUP(VLOOKUP(IFERROR(LEFT(playground!N43,SEARCH("|",playground!N43,1)-1),""),$C:$D,2,FALSE)&amp;RIGHT(playground!N43,4),expense!$A:$G,$F$2,FALSE),0)</f>
        <v>0</v>
      </c>
      <c r="N30" s="14">
        <f t="shared" si="3"/>
        <v>0</v>
      </c>
    </row>
    <row r="31" spans="1:14" x14ac:dyDescent="0.25">
      <c r="A31">
        <v>30</v>
      </c>
      <c r="B31" t="str">
        <f>IF(playground!G44=0,"",playground!G44)</f>
        <v/>
      </c>
      <c r="C31" t="str">
        <f t="shared" si="0"/>
        <v/>
      </c>
      <c r="D31" t="str">
        <f t="shared" si="1"/>
        <v/>
      </c>
      <c r="E31" t="str">
        <f t="shared" si="2"/>
        <v/>
      </c>
      <c r="G31" s="14">
        <f>IFERROR(VLOOKUP(VLOOKUP(IFERROR(LEFT(playground!H44,SEARCH("|",playground!H44,1)-1),""),$C:$D,2,FALSE)&amp;RIGHT(playground!H44,4),expense!$A:$G,$F$2,FALSE),0)</f>
        <v>0</v>
      </c>
      <c r="H31" s="14">
        <f>IFERROR(VLOOKUP(VLOOKUP(IFERROR(LEFT(playground!I44,SEARCH("|",playground!I44,1)-1),""),$C:$D,2,FALSE)&amp;RIGHT(playground!I44,4),expense!$A:$G,$F$2,FALSE),0)</f>
        <v>0</v>
      </c>
      <c r="I31" s="14">
        <f>IFERROR(VLOOKUP(VLOOKUP(IFERROR(LEFT(playground!J44,SEARCH("|",playground!J44,1)-1),""),$C:$D,2,FALSE)&amp;RIGHT(playground!J44,4),expense!$A:$G,$F$2,FALSE),0)</f>
        <v>0</v>
      </c>
      <c r="J31" s="14">
        <f>IFERROR(VLOOKUP(VLOOKUP(IFERROR(LEFT(playground!K44,SEARCH("|",playground!K44,1)-1),""),$C:$D,2,FALSE)&amp;RIGHT(playground!K44,4),expense!$A:$G,$F$2,FALSE),0)</f>
        <v>0</v>
      </c>
      <c r="K31" s="14">
        <f>IFERROR(VLOOKUP(VLOOKUP(IFERROR(LEFT(playground!L44,SEARCH("|",playground!L44,1)-1),""),$C:$D,2,FALSE)&amp;RIGHT(playground!L44,4),expense!$A:$G,$F$2,FALSE),0)</f>
        <v>0</v>
      </c>
      <c r="L31" s="14">
        <f>IFERROR(VLOOKUP(VLOOKUP(IFERROR(LEFT(playground!M44,SEARCH("|",playground!M44,1)-1),""),$C:$D,2,FALSE)&amp;RIGHT(playground!M44,4),expense!$A:$G,$F$2,FALSE),0)</f>
        <v>0</v>
      </c>
      <c r="M31" s="14">
        <f>IFERROR(VLOOKUP(VLOOKUP(IFERROR(LEFT(playground!N44,SEARCH("|",playground!N44,1)-1),""),$C:$D,2,FALSE)&amp;RIGHT(playground!N44,4),expense!$A:$G,$F$2,FALSE),0)</f>
        <v>0</v>
      </c>
      <c r="N31" s="14">
        <f t="shared" si="3"/>
        <v>0</v>
      </c>
    </row>
    <row r="32" spans="1:14" x14ac:dyDescent="0.25">
      <c r="A32">
        <v>31</v>
      </c>
      <c r="B32" t="str">
        <f>IF(playground!G45=0,"",playground!G45)</f>
        <v/>
      </c>
      <c r="C32" t="str">
        <f t="shared" si="0"/>
        <v/>
      </c>
      <c r="D32" t="str">
        <f t="shared" si="1"/>
        <v/>
      </c>
      <c r="E32" t="str">
        <f t="shared" si="2"/>
        <v/>
      </c>
      <c r="G32" s="14">
        <f>IFERROR(VLOOKUP(VLOOKUP(IFERROR(LEFT(playground!H45,SEARCH("|",playground!H45,1)-1),""),$C:$D,2,FALSE)&amp;RIGHT(playground!H45,4),expense!$A:$G,$F$2,FALSE),0)</f>
        <v>0</v>
      </c>
      <c r="H32" s="14">
        <f>IFERROR(VLOOKUP(VLOOKUP(IFERROR(LEFT(playground!I45,SEARCH("|",playground!I45,1)-1),""),$C:$D,2,FALSE)&amp;RIGHT(playground!I45,4),expense!$A:$G,$F$2,FALSE),0)</f>
        <v>0</v>
      </c>
      <c r="I32" s="14">
        <f>IFERROR(VLOOKUP(VLOOKUP(IFERROR(LEFT(playground!J45,SEARCH("|",playground!J45,1)-1),""),$C:$D,2,FALSE)&amp;RIGHT(playground!J45,4),expense!$A:$G,$F$2,FALSE),0)</f>
        <v>0</v>
      </c>
      <c r="J32" s="14">
        <f>IFERROR(VLOOKUP(VLOOKUP(IFERROR(LEFT(playground!K45,SEARCH("|",playground!K45,1)-1),""),$C:$D,2,FALSE)&amp;RIGHT(playground!K45,4),expense!$A:$G,$F$2,FALSE),0)</f>
        <v>0</v>
      </c>
      <c r="K32" s="14">
        <f>IFERROR(VLOOKUP(VLOOKUP(IFERROR(LEFT(playground!L45,SEARCH("|",playground!L45,1)-1),""),$C:$D,2,FALSE)&amp;RIGHT(playground!L45,4),expense!$A:$G,$F$2,FALSE),0)</f>
        <v>0</v>
      </c>
      <c r="L32" s="14">
        <f>IFERROR(VLOOKUP(VLOOKUP(IFERROR(LEFT(playground!M45,SEARCH("|",playground!M45,1)-1),""),$C:$D,2,FALSE)&amp;RIGHT(playground!M45,4),expense!$A:$G,$F$2,FALSE),0)</f>
        <v>0</v>
      </c>
      <c r="M32" s="14">
        <f>IFERROR(VLOOKUP(VLOOKUP(IFERROR(LEFT(playground!N45,SEARCH("|",playground!N45,1)-1),""),$C:$D,2,FALSE)&amp;RIGHT(playground!N45,4),expense!$A:$G,$F$2,FALSE),0)</f>
        <v>0</v>
      </c>
      <c r="N32" s="14">
        <f t="shared" si="3"/>
        <v>0</v>
      </c>
    </row>
    <row r="33" spans="1:14" x14ac:dyDescent="0.25">
      <c r="A33">
        <v>32</v>
      </c>
      <c r="B33" t="str">
        <f>IF(playground!G46=0,"",playground!G46)</f>
        <v/>
      </c>
      <c r="C33" t="str">
        <f t="shared" si="0"/>
        <v/>
      </c>
      <c r="D33" t="str">
        <f t="shared" si="1"/>
        <v/>
      </c>
      <c r="E33" t="str">
        <f t="shared" si="2"/>
        <v/>
      </c>
      <c r="G33" s="14">
        <f>IFERROR(VLOOKUP(VLOOKUP(IFERROR(LEFT(playground!H46,SEARCH("|",playground!H46,1)-1),""),$C:$D,2,FALSE)&amp;RIGHT(playground!H46,4),expense!$A:$G,$F$2,FALSE),0)</f>
        <v>0</v>
      </c>
      <c r="H33" s="14">
        <f>IFERROR(VLOOKUP(VLOOKUP(IFERROR(LEFT(playground!I46,SEARCH("|",playground!I46,1)-1),""),$C:$D,2,FALSE)&amp;RIGHT(playground!I46,4),expense!$A:$G,$F$2,FALSE),0)</f>
        <v>0</v>
      </c>
      <c r="I33" s="14">
        <f>IFERROR(VLOOKUP(VLOOKUP(IFERROR(LEFT(playground!J46,SEARCH("|",playground!J46,1)-1),""),$C:$D,2,FALSE)&amp;RIGHT(playground!J46,4),expense!$A:$G,$F$2,FALSE),0)</f>
        <v>0</v>
      </c>
      <c r="J33" s="14">
        <f>IFERROR(VLOOKUP(VLOOKUP(IFERROR(LEFT(playground!K46,SEARCH("|",playground!K46,1)-1),""),$C:$D,2,FALSE)&amp;RIGHT(playground!K46,4),expense!$A:$G,$F$2,FALSE),0)</f>
        <v>0</v>
      </c>
      <c r="K33" s="14">
        <f>IFERROR(VLOOKUP(VLOOKUP(IFERROR(LEFT(playground!L46,SEARCH("|",playground!L46,1)-1),""),$C:$D,2,FALSE)&amp;RIGHT(playground!L46,4),expense!$A:$G,$F$2,FALSE),0)</f>
        <v>0</v>
      </c>
      <c r="L33" s="14">
        <f>IFERROR(VLOOKUP(VLOOKUP(IFERROR(LEFT(playground!M46,SEARCH("|",playground!M46,1)-1),""),$C:$D,2,FALSE)&amp;RIGHT(playground!M46,4),expense!$A:$G,$F$2,FALSE),0)</f>
        <v>0</v>
      </c>
      <c r="M33" s="14">
        <f>IFERROR(VLOOKUP(VLOOKUP(IFERROR(LEFT(playground!N46,SEARCH("|",playground!N46,1)-1),""),$C:$D,2,FALSE)&amp;RIGHT(playground!N46,4),expense!$A:$G,$F$2,FALSE),0)</f>
        <v>0</v>
      </c>
      <c r="N33" s="14">
        <f t="shared" si="3"/>
        <v>0</v>
      </c>
    </row>
    <row r="34" spans="1:14" x14ac:dyDescent="0.25">
      <c r="A34">
        <v>33</v>
      </c>
      <c r="B34" t="str">
        <f>IF(playground!G47=0,"",playground!G47)</f>
        <v/>
      </c>
      <c r="C34" t="str">
        <f t="shared" si="0"/>
        <v/>
      </c>
      <c r="D34" t="str">
        <f t="shared" si="1"/>
        <v/>
      </c>
      <c r="E34" t="str">
        <f t="shared" si="2"/>
        <v/>
      </c>
      <c r="G34" s="14">
        <f>IFERROR(VLOOKUP(VLOOKUP(IFERROR(LEFT(playground!H47,SEARCH("|",playground!H47,1)-1),""),$C:$D,2,FALSE)&amp;RIGHT(playground!H47,4),expense!$A:$G,$F$2,FALSE),0)</f>
        <v>0</v>
      </c>
      <c r="H34" s="14">
        <f>IFERROR(VLOOKUP(VLOOKUP(IFERROR(LEFT(playground!I47,SEARCH("|",playground!I47,1)-1),""),$C:$D,2,FALSE)&amp;RIGHT(playground!I47,4),expense!$A:$G,$F$2,FALSE),0)</f>
        <v>0</v>
      </c>
      <c r="I34" s="14">
        <f>IFERROR(VLOOKUP(VLOOKUP(IFERROR(LEFT(playground!J47,SEARCH("|",playground!J47,1)-1),""),$C:$D,2,FALSE)&amp;RIGHT(playground!J47,4),expense!$A:$G,$F$2,FALSE),0)</f>
        <v>0</v>
      </c>
      <c r="J34" s="14">
        <f>IFERROR(VLOOKUP(VLOOKUP(IFERROR(LEFT(playground!K47,SEARCH("|",playground!K47,1)-1),""),$C:$D,2,FALSE)&amp;RIGHT(playground!K47,4),expense!$A:$G,$F$2,FALSE),0)</f>
        <v>0</v>
      </c>
      <c r="K34" s="14">
        <f>IFERROR(VLOOKUP(VLOOKUP(IFERROR(LEFT(playground!L47,SEARCH("|",playground!L47,1)-1),""),$C:$D,2,FALSE)&amp;RIGHT(playground!L47,4),expense!$A:$G,$F$2,FALSE),0)</f>
        <v>0</v>
      </c>
      <c r="L34" s="14">
        <f>IFERROR(VLOOKUP(VLOOKUP(IFERROR(LEFT(playground!M47,SEARCH("|",playground!M47,1)-1),""),$C:$D,2,FALSE)&amp;RIGHT(playground!M47,4),expense!$A:$G,$F$2,FALSE),0)</f>
        <v>0</v>
      </c>
      <c r="M34" s="14">
        <f>IFERROR(VLOOKUP(VLOOKUP(IFERROR(LEFT(playground!N47,SEARCH("|",playground!N47,1)-1),""),$C:$D,2,FALSE)&amp;RIGHT(playground!N47,4),expense!$A:$G,$F$2,FALSE),0)</f>
        <v>0</v>
      </c>
      <c r="N34" s="14">
        <f t="shared" si="3"/>
        <v>0</v>
      </c>
    </row>
    <row r="35" spans="1:14" x14ac:dyDescent="0.25">
      <c r="A35">
        <v>34</v>
      </c>
      <c r="B35" t="str">
        <f>IF(playground!G48=0,"",playground!G48)</f>
        <v/>
      </c>
      <c r="C35" t="str">
        <f t="shared" si="0"/>
        <v/>
      </c>
      <c r="D35" t="str">
        <f t="shared" si="1"/>
        <v/>
      </c>
      <c r="E35" t="str">
        <f t="shared" si="2"/>
        <v/>
      </c>
      <c r="G35" s="14">
        <f>IFERROR(VLOOKUP(VLOOKUP(IFERROR(LEFT(playground!H48,SEARCH("|",playground!H48,1)-1),""),$C:$D,2,FALSE)&amp;RIGHT(playground!H48,4),expense!$A:$G,$F$2,FALSE),0)</f>
        <v>0</v>
      </c>
      <c r="H35" s="14">
        <f>IFERROR(VLOOKUP(VLOOKUP(IFERROR(LEFT(playground!I48,SEARCH("|",playground!I48,1)-1),""),$C:$D,2,FALSE)&amp;RIGHT(playground!I48,4),expense!$A:$G,$F$2,FALSE),0)</f>
        <v>0</v>
      </c>
      <c r="I35" s="14">
        <f>IFERROR(VLOOKUP(VLOOKUP(IFERROR(LEFT(playground!J48,SEARCH("|",playground!J48,1)-1),""),$C:$D,2,FALSE)&amp;RIGHT(playground!J48,4),expense!$A:$G,$F$2,FALSE),0)</f>
        <v>0</v>
      </c>
      <c r="J35" s="14">
        <f>IFERROR(VLOOKUP(VLOOKUP(IFERROR(LEFT(playground!K48,SEARCH("|",playground!K48,1)-1),""),$C:$D,2,FALSE)&amp;RIGHT(playground!K48,4),expense!$A:$G,$F$2,FALSE),0)</f>
        <v>0</v>
      </c>
      <c r="K35" s="14">
        <f>IFERROR(VLOOKUP(VLOOKUP(IFERROR(LEFT(playground!L48,SEARCH("|",playground!L48,1)-1),""),$C:$D,2,FALSE)&amp;RIGHT(playground!L48,4),expense!$A:$G,$F$2,FALSE),0)</f>
        <v>0</v>
      </c>
      <c r="L35" s="14">
        <f>IFERROR(VLOOKUP(VLOOKUP(IFERROR(LEFT(playground!M48,SEARCH("|",playground!M48,1)-1),""),$C:$D,2,FALSE)&amp;RIGHT(playground!M48,4),expense!$A:$G,$F$2,FALSE),0)</f>
        <v>0</v>
      </c>
      <c r="M35" s="14">
        <f>IFERROR(VLOOKUP(VLOOKUP(IFERROR(LEFT(playground!N48,SEARCH("|",playground!N48,1)-1),""),$C:$D,2,FALSE)&amp;RIGHT(playground!N48,4),expense!$A:$G,$F$2,FALSE),0)</f>
        <v>0</v>
      </c>
      <c r="N35" s="14">
        <f t="shared" si="3"/>
        <v>0</v>
      </c>
    </row>
    <row r="36" spans="1:14" x14ac:dyDescent="0.25">
      <c r="A36">
        <v>35</v>
      </c>
      <c r="B36" t="str">
        <f>IF(playground!G49=0,"",playground!G49)</f>
        <v/>
      </c>
      <c r="C36" t="str">
        <f t="shared" si="0"/>
        <v/>
      </c>
      <c r="D36" t="str">
        <f t="shared" si="1"/>
        <v/>
      </c>
      <c r="E36" t="str">
        <f t="shared" si="2"/>
        <v/>
      </c>
      <c r="G36" s="14">
        <f>IFERROR(VLOOKUP(VLOOKUP(IFERROR(LEFT(playground!H49,SEARCH("|",playground!H49,1)-1),""),$C:$D,2,FALSE)&amp;RIGHT(playground!H49,4),expense!$A:$G,$F$2,FALSE),0)</f>
        <v>0</v>
      </c>
      <c r="H36" s="14">
        <f>IFERROR(VLOOKUP(VLOOKUP(IFERROR(LEFT(playground!I49,SEARCH("|",playground!I49,1)-1),""),$C:$D,2,FALSE)&amp;RIGHT(playground!I49,4),expense!$A:$G,$F$2,FALSE),0)</f>
        <v>0</v>
      </c>
      <c r="I36" s="14">
        <f>IFERROR(VLOOKUP(VLOOKUP(IFERROR(LEFT(playground!J49,SEARCH("|",playground!J49,1)-1),""),$C:$D,2,FALSE)&amp;RIGHT(playground!J49,4),expense!$A:$G,$F$2,FALSE),0)</f>
        <v>0</v>
      </c>
      <c r="J36" s="14">
        <f>IFERROR(VLOOKUP(VLOOKUP(IFERROR(LEFT(playground!K49,SEARCH("|",playground!K49,1)-1),""),$C:$D,2,FALSE)&amp;RIGHT(playground!K49,4),expense!$A:$G,$F$2,FALSE),0)</f>
        <v>0</v>
      </c>
      <c r="K36" s="14">
        <f>IFERROR(VLOOKUP(VLOOKUP(IFERROR(LEFT(playground!L49,SEARCH("|",playground!L49,1)-1),""),$C:$D,2,FALSE)&amp;RIGHT(playground!L49,4),expense!$A:$G,$F$2,FALSE),0)</f>
        <v>0</v>
      </c>
      <c r="L36" s="14">
        <f>IFERROR(VLOOKUP(VLOOKUP(IFERROR(LEFT(playground!M49,SEARCH("|",playground!M49,1)-1),""),$C:$D,2,FALSE)&amp;RIGHT(playground!M49,4),expense!$A:$G,$F$2,FALSE),0)</f>
        <v>0</v>
      </c>
      <c r="M36" s="14">
        <f>IFERROR(VLOOKUP(VLOOKUP(IFERROR(LEFT(playground!N49,SEARCH("|",playground!N49,1)-1),""),$C:$D,2,FALSE)&amp;RIGHT(playground!N49,4),expense!$A:$G,$F$2,FALSE),0)</f>
        <v>0</v>
      </c>
      <c r="N36" s="14">
        <f t="shared" si="3"/>
        <v>0</v>
      </c>
    </row>
    <row r="37" spans="1:14" x14ac:dyDescent="0.25">
      <c r="A37">
        <v>36</v>
      </c>
      <c r="B37" t="str">
        <f>IF(playground!G50=0,"",playground!G50)</f>
        <v/>
      </c>
      <c r="C37" t="str">
        <f t="shared" si="0"/>
        <v/>
      </c>
      <c r="D37" t="str">
        <f t="shared" si="1"/>
        <v/>
      </c>
      <c r="E37" t="str">
        <f t="shared" si="2"/>
        <v/>
      </c>
      <c r="G37" s="14">
        <f>IFERROR(VLOOKUP(VLOOKUP(IFERROR(LEFT(playground!H50,SEARCH("|",playground!H50,1)-1),""),$C:$D,2,FALSE)&amp;RIGHT(playground!H50,4),expense!$A:$G,$F$2,FALSE),0)</f>
        <v>5290</v>
      </c>
      <c r="H37" s="14">
        <f>IFERROR(VLOOKUP(VLOOKUP(IFERROR(LEFT(playground!I50,SEARCH("|",playground!I50,1)-1),""),$C:$D,2,FALSE)&amp;RIGHT(playground!I50,4),expense!$A:$G,$F$2,FALSE),0)</f>
        <v>0</v>
      </c>
      <c r="I37" s="14">
        <f>IFERROR(VLOOKUP(VLOOKUP(IFERROR(LEFT(playground!J50,SEARCH("|",playground!J50,1)-1),""),$C:$D,2,FALSE)&amp;RIGHT(playground!J50,4),expense!$A:$G,$F$2,FALSE),0)</f>
        <v>0</v>
      </c>
      <c r="J37" s="14">
        <f>IFERROR(VLOOKUP(VLOOKUP(IFERROR(LEFT(playground!K50,SEARCH("|",playground!K50,1)-1),""),$C:$D,2,FALSE)&amp;RIGHT(playground!K50,4),expense!$A:$G,$F$2,FALSE),0)</f>
        <v>0</v>
      </c>
      <c r="K37" s="14">
        <f>IFERROR(VLOOKUP(VLOOKUP(IFERROR(LEFT(playground!L50,SEARCH("|",playground!L50,1)-1),""),$C:$D,2,FALSE)&amp;RIGHT(playground!L50,4),expense!$A:$G,$F$2,FALSE),0)</f>
        <v>0</v>
      </c>
      <c r="L37" s="14">
        <f>IFERROR(VLOOKUP(VLOOKUP(IFERROR(LEFT(playground!M50,SEARCH("|",playground!M50,1)-1),""),$C:$D,2,FALSE)&amp;RIGHT(playground!M50,4),expense!$A:$G,$F$2,FALSE),0)</f>
        <v>0</v>
      </c>
      <c r="M37" s="14">
        <f>IFERROR(VLOOKUP(VLOOKUP(IFERROR(LEFT(playground!N50,SEARCH("|",playground!N50,1)-1),""),$C:$D,2,FALSE)&amp;RIGHT(playground!N50,4),expense!$A:$G,$F$2,FALSE),0)</f>
        <v>0</v>
      </c>
      <c r="N37" s="14">
        <f t="shared" si="3"/>
        <v>5290</v>
      </c>
    </row>
    <row r="38" spans="1:14" x14ac:dyDescent="0.25">
      <c r="A38">
        <v>37</v>
      </c>
      <c r="B38" t="str">
        <f>IF(playground!G51=0,"",playground!G51)</f>
        <v/>
      </c>
      <c r="C38" t="str">
        <f t="shared" si="0"/>
        <v/>
      </c>
      <c r="D38" t="str">
        <f t="shared" si="1"/>
        <v/>
      </c>
      <c r="E38" t="str">
        <f t="shared" si="2"/>
        <v/>
      </c>
      <c r="G38" s="14">
        <f>IFERROR(VLOOKUP(VLOOKUP(IFERROR(LEFT(playground!H51,SEARCH("|",playground!H51,1)-1),""),$C:$D,2,FALSE)&amp;RIGHT(playground!H51,4),expense!$A:$G,$F$2,FALSE),0)</f>
        <v>0</v>
      </c>
      <c r="H38" s="14">
        <f>IFERROR(VLOOKUP(VLOOKUP(IFERROR(LEFT(playground!I51,SEARCH("|",playground!I51,1)-1),""),$C:$D,2,FALSE)&amp;RIGHT(playground!I51,4),expense!$A:$G,$F$2,FALSE),0)</f>
        <v>0</v>
      </c>
      <c r="I38" s="14">
        <f>IFERROR(VLOOKUP(VLOOKUP(IFERROR(LEFT(playground!J51,SEARCH("|",playground!J51,1)-1),""),$C:$D,2,FALSE)&amp;RIGHT(playground!J51,4),expense!$A:$G,$F$2,FALSE),0)</f>
        <v>0</v>
      </c>
      <c r="J38" s="14">
        <f>IFERROR(VLOOKUP(VLOOKUP(IFERROR(LEFT(playground!K51,SEARCH("|",playground!K51,1)-1),""),$C:$D,2,FALSE)&amp;RIGHT(playground!K51,4),expense!$A:$G,$F$2,FALSE),0)</f>
        <v>0</v>
      </c>
      <c r="K38" s="14">
        <f>IFERROR(VLOOKUP(VLOOKUP(IFERROR(LEFT(playground!L51,SEARCH("|",playground!L51,1)-1),""),$C:$D,2,FALSE)&amp;RIGHT(playground!L51,4),expense!$A:$G,$F$2,FALSE),0)</f>
        <v>0</v>
      </c>
      <c r="L38" s="14">
        <f>IFERROR(VLOOKUP(VLOOKUP(IFERROR(LEFT(playground!M51,SEARCH("|",playground!M51,1)-1),""),$C:$D,2,FALSE)&amp;RIGHT(playground!M51,4),expense!$A:$G,$F$2,FALSE),0)</f>
        <v>0</v>
      </c>
      <c r="M38" s="14">
        <f>IFERROR(VLOOKUP(VLOOKUP(IFERROR(LEFT(playground!N51,SEARCH("|",playground!N51,1)-1),""),$C:$D,2,FALSE)&amp;RIGHT(playground!N51,4),expense!$A:$G,$F$2,FALSE),0)</f>
        <v>0</v>
      </c>
      <c r="N38" s="14">
        <f t="shared" si="3"/>
        <v>0</v>
      </c>
    </row>
    <row r="39" spans="1:14" x14ac:dyDescent="0.25">
      <c r="A39">
        <v>38</v>
      </c>
      <c r="B39" t="str">
        <f>IF(playground!G52=0,"",playground!G52)</f>
        <v/>
      </c>
      <c r="C39" t="str">
        <f t="shared" si="0"/>
        <v/>
      </c>
      <c r="D39" t="str">
        <f t="shared" si="1"/>
        <v/>
      </c>
      <c r="E39" t="str">
        <f t="shared" si="2"/>
        <v/>
      </c>
      <c r="G39" s="14">
        <f>IFERROR(VLOOKUP(VLOOKUP(IFERROR(LEFT(playground!H52,SEARCH("|",playground!H52,1)-1),""),$C:$D,2,FALSE)&amp;RIGHT(playground!H52,4),expense!$A:$G,$F$2,FALSE),0)</f>
        <v>2160</v>
      </c>
      <c r="H39" s="14">
        <f>IFERROR(VLOOKUP(VLOOKUP(IFERROR(LEFT(playground!I52,SEARCH("|",playground!I52,1)-1),""),$C:$D,2,FALSE)&amp;RIGHT(playground!I52,4),expense!$A:$G,$F$2,FALSE),0)</f>
        <v>0</v>
      </c>
      <c r="I39" s="14">
        <f>IFERROR(VLOOKUP(VLOOKUP(IFERROR(LEFT(playground!J52,SEARCH("|",playground!J52,1)-1),""),$C:$D,2,FALSE)&amp;RIGHT(playground!J52,4),expense!$A:$G,$F$2,FALSE),0)</f>
        <v>0</v>
      </c>
      <c r="J39" s="14">
        <f>IFERROR(VLOOKUP(VLOOKUP(IFERROR(LEFT(playground!K52,SEARCH("|",playground!K52,1)-1),""),$C:$D,2,FALSE)&amp;RIGHT(playground!K52,4),expense!$A:$G,$F$2,FALSE),0)</f>
        <v>0</v>
      </c>
      <c r="K39" s="14">
        <f>IFERROR(VLOOKUP(VLOOKUP(IFERROR(LEFT(playground!L52,SEARCH("|",playground!L52,1)-1),""),$C:$D,2,FALSE)&amp;RIGHT(playground!L52,4),expense!$A:$G,$F$2,FALSE),0)</f>
        <v>0</v>
      </c>
      <c r="L39" s="14">
        <f>IFERROR(VLOOKUP(VLOOKUP(IFERROR(LEFT(playground!M52,SEARCH("|",playground!M52,1)-1),""),$C:$D,2,FALSE)&amp;RIGHT(playground!M52,4),expense!$A:$G,$F$2,FALSE),0)</f>
        <v>0</v>
      </c>
      <c r="M39" s="14">
        <f>IFERROR(VLOOKUP(VLOOKUP(IFERROR(LEFT(playground!N52,SEARCH("|",playground!N52,1)-1),""),$C:$D,2,FALSE)&amp;RIGHT(playground!N52,4),expense!$A:$G,$F$2,FALSE),0)</f>
        <v>0</v>
      </c>
      <c r="N39" s="14">
        <f t="shared" si="3"/>
        <v>2160</v>
      </c>
    </row>
    <row r="40" spans="1:14" x14ac:dyDescent="0.25">
      <c r="A40">
        <v>39</v>
      </c>
      <c r="B40" t="str">
        <f>IF(playground!G53=0,"",playground!G53)</f>
        <v/>
      </c>
      <c r="C40" t="str">
        <f t="shared" si="0"/>
        <v/>
      </c>
      <c r="D40" t="str">
        <f t="shared" si="1"/>
        <v/>
      </c>
      <c r="E40" t="str">
        <f t="shared" si="2"/>
        <v/>
      </c>
      <c r="G40" s="14">
        <f>IFERROR(VLOOKUP(VLOOKUP(IFERROR(LEFT(playground!H53,SEARCH("|",playground!H53,1)-1),""),$C:$D,2,FALSE)&amp;RIGHT(playground!H53,4),expense!$A:$G,$F$2,FALSE),0)</f>
        <v>1080</v>
      </c>
      <c r="H40" s="14">
        <f>IFERROR(VLOOKUP(VLOOKUP(IFERROR(LEFT(playground!I53,SEARCH("|",playground!I53,1)-1),""),$C:$D,2,FALSE)&amp;RIGHT(playground!I53,4),expense!$A:$G,$F$2,FALSE),0)</f>
        <v>865</v>
      </c>
      <c r="I40" s="14">
        <f>IFERROR(VLOOKUP(VLOOKUP(IFERROR(LEFT(playground!J53,SEARCH("|",playground!J53,1)-1),""),$C:$D,2,FALSE)&amp;RIGHT(playground!J53,4),expense!$A:$G,$F$2,FALSE),0)</f>
        <v>0</v>
      </c>
      <c r="J40" s="14">
        <f>IFERROR(VLOOKUP(VLOOKUP(IFERROR(LEFT(playground!K53,SEARCH("|",playground!K53,1)-1),""),$C:$D,2,FALSE)&amp;RIGHT(playground!K53,4),expense!$A:$G,$F$2,FALSE),0)</f>
        <v>0</v>
      </c>
      <c r="K40" s="14">
        <f>IFERROR(VLOOKUP(VLOOKUP(IFERROR(LEFT(playground!L53,SEARCH("|",playground!L53,1)-1),""),$C:$D,2,FALSE)&amp;RIGHT(playground!L53,4),expense!$A:$G,$F$2,FALSE),0)</f>
        <v>0</v>
      </c>
      <c r="L40" s="14">
        <f>IFERROR(VLOOKUP(VLOOKUP(IFERROR(LEFT(playground!M53,SEARCH("|",playground!M53,1)-1),""),$C:$D,2,FALSE)&amp;RIGHT(playground!M53,4),expense!$A:$G,$F$2,FALSE),0)</f>
        <v>0</v>
      </c>
      <c r="M40" s="14">
        <f>IFERROR(VLOOKUP(VLOOKUP(IFERROR(LEFT(playground!N53,SEARCH("|",playground!N53,1)-1),""),$C:$D,2,FALSE)&amp;RIGHT(playground!N53,4),expense!$A:$G,$F$2,FALSE),0)</f>
        <v>0</v>
      </c>
      <c r="N40" s="14">
        <f t="shared" si="3"/>
        <v>1945</v>
      </c>
    </row>
    <row r="41" spans="1:14" x14ac:dyDescent="0.25">
      <c r="A41">
        <v>40</v>
      </c>
      <c r="B41" t="str">
        <f>IF(playground!G54=0,"",playground!G54)</f>
        <v/>
      </c>
      <c r="C41" t="str">
        <f t="shared" si="0"/>
        <v/>
      </c>
      <c r="D41" t="str">
        <f t="shared" si="1"/>
        <v/>
      </c>
      <c r="E41" t="str">
        <f t="shared" si="2"/>
        <v/>
      </c>
      <c r="G41" s="14">
        <f>IFERROR(VLOOKUP(VLOOKUP(IFERROR(LEFT(playground!H54,SEARCH("|",playground!H54,1)-1),""),$C:$D,2,FALSE)&amp;RIGHT(playground!H54,4),expense!$A:$G,$F$2,FALSE),0)</f>
        <v>650</v>
      </c>
      <c r="H41" s="14">
        <f>IFERROR(VLOOKUP(VLOOKUP(IFERROR(LEFT(playground!I54,SEARCH("|",playground!I54,1)-1),""),$C:$D,2,FALSE)&amp;RIGHT(playground!I54,4),expense!$A:$G,$F$2,FALSE),0)</f>
        <v>650</v>
      </c>
      <c r="I41" s="14">
        <f>IFERROR(VLOOKUP(VLOOKUP(IFERROR(LEFT(playground!J54,SEARCH("|",playground!J54,1)-1),""),$C:$D,2,FALSE)&amp;RIGHT(playground!J54,4),expense!$A:$G,$F$2,FALSE),0)</f>
        <v>0</v>
      </c>
      <c r="J41" s="14">
        <f>IFERROR(VLOOKUP(VLOOKUP(IFERROR(LEFT(playground!K54,SEARCH("|",playground!K54,1)-1),""),$C:$D,2,FALSE)&amp;RIGHT(playground!K54,4),expense!$A:$G,$F$2,FALSE),0)</f>
        <v>0</v>
      </c>
      <c r="K41" s="14">
        <f>IFERROR(VLOOKUP(VLOOKUP(IFERROR(LEFT(playground!L54,SEARCH("|",playground!L54,1)-1),""),$C:$D,2,FALSE)&amp;RIGHT(playground!L54,4),expense!$A:$G,$F$2,FALSE),0)</f>
        <v>0</v>
      </c>
      <c r="L41" s="14">
        <f>IFERROR(VLOOKUP(VLOOKUP(IFERROR(LEFT(playground!M54,SEARCH("|",playground!M54,1)-1),""),$C:$D,2,FALSE)&amp;RIGHT(playground!M54,4),expense!$A:$G,$F$2,FALSE),0)</f>
        <v>0</v>
      </c>
      <c r="M41" s="14">
        <f>IFERROR(VLOOKUP(VLOOKUP(IFERROR(LEFT(playground!N54,SEARCH("|",playground!N54,1)-1),""),$C:$D,2,FALSE)&amp;RIGHT(playground!N54,4),expense!$A:$G,$F$2,FALSE),0)</f>
        <v>0</v>
      </c>
      <c r="N41" s="14">
        <f t="shared" si="3"/>
        <v>1300</v>
      </c>
    </row>
    <row r="42" spans="1:14" x14ac:dyDescent="0.25">
      <c r="A42">
        <v>41</v>
      </c>
      <c r="B42" t="str">
        <f>IF(playground!G55=0,"",playground!G55)</f>
        <v/>
      </c>
      <c r="C42" t="str">
        <f t="shared" si="0"/>
        <v/>
      </c>
      <c r="D42" t="str">
        <f t="shared" si="1"/>
        <v/>
      </c>
      <c r="E42" t="str">
        <f t="shared" si="2"/>
        <v/>
      </c>
      <c r="G42" s="14">
        <f>IFERROR(VLOOKUP(VLOOKUP(IFERROR(LEFT(playground!H55,SEARCH("|",playground!H55,1)-1),""),$C:$D,2,FALSE)&amp;RIGHT(playground!H55,4),expense!$A:$G,$F$2,FALSE),0)</f>
        <v>865</v>
      </c>
      <c r="H42" s="14">
        <f>IFERROR(VLOOKUP(VLOOKUP(IFERROR(LEFT(playground!I55,SEARCH("|",playground!I55,1)-1),""),$C:$D,2,FALSE)&amp;RIGHT(playground!I55,4),expense!$A:$G,$F$2,FALSE),0)</f>
        <v>0</v>
      </c>
      <c r="I42" s="14">
        <f>IFERROR(VLOOKUP(VLOOKUP(IFERROR(LEFT(playground!J55,SEARCH("|",playground!J55,1)-1),""),$C:$D,2,FALSE)&amp;RIGHT(playground!J55,4),expense!$A:$G,$F$2,FALSE),0)</f>
        <v>0</v>
      </c>
      <c r="J42" s="14">
        <f>IFERROR(VLOOKUP(VLOOKUP(IFERROR(LEFT(playground!K55,SEARCH("|",playground!K55,1)-1),""),$C:$D,2,FALSE)&amp;RIGHT(playground!K55,4),expense!$A:$G,$F$2,FALSE),0)</f>
        <v>0</v>
      </c>
      <c r="K42" s="14">
        <f>IFERROR(VLOOKUP(VLOOKUP(IFERROR(LEFT(playground!L55,SEARCH("|",playground!L55,1)-1),""),$C:$D,2,FALSE)&amp;RIGHT(playground!L55,4),expense!$A:$G,$F$2,FALSE),0)</f>
        <v>0</v>
      </c>
      <c r="L42" s="14">
        <f>IFERROR(VLOOKUP(VLOOKUP(IFERROR(LEFT(playground!M55,SEARCH("|",playground!M55,1)-1),""),$C:$D,2,FALSE)&amp;RIGHT(playground!M55,4),expense!$A:$G,$F$2,FALSE),0)</f>
        <v>0</v>
      </c>
      <c r="M42" s="14">
        <f>IFERROR(VLOOKUP(VLOOKUP(IFERROR(LEFT(playground!N55,SEARCH("|",playground!N55,1)-1),""),$C:$D,2,FALSE)&amp;RIGHT(playground!N55,4),expense!$A:$G,$F$2,FALSE),0)</f>
        <v>0</v>
      </c>
      <c r="N42" s="14">
        <f t="shared" si="3"/>
        <v>865</v>
      </c>
    </row>
    <row r="43" spans="1:14" x14ac:dyDescent="0.25">
      <c r="A43">
        <v>42</v>
      </c>
      <c r="B43" t="str">
        <f>IF(playground!G56=0,"",playground!G56)</f>
        <v/>
      </c>
      <c r="C43" t="str">
        <f t="shared" si="0"/>
        <v/>
      </c>
      <c r="D43" t="str">
        <f t="shared" si="1"/>
        <v/>
      </c>
      <c r="E43" t="str">
        <f t="shared" si="2"/>
        <v/>
      </c>
      <c r="G43" s="14">
        <f>IFERROR(VLOOKUP(VLOOKUP(IFERROR(LEFT(playground!H56,SEARCH("|",playground!H56,1)-1),""),$C:$D,2,FALSE)&amp;RIGHT(playground!H56,4),expense!$A:$G,$F$2,FALSE),0)</f>
        <v>0</v>
      </c>
      <c r="H43" s="14">
        <f>IFERROR(VLOOKUP(VLOOKUP(IFERROR(LEFT(playground!I56,SEARCH("|",playground!I56,1)-1),""),$C:$D,2,FALSE)&amp;RIGHT(playground!I56,4),expense!$A:$G,$F$2,FALSE),0)</f>
        <v>0</v>
      </c>
      <c r="I43" s="14">
        <f>IFERROR(VLOOKUP(VLOOKUP(IFERROR(LEFT(playground!J56,SEARCH("|",playground!J56,1)-1),""),$C:$D,2,FALSE)&amp;RIGHT(playground!J56,4),expense!$A:$G,$F$2,FALSE),0)</f>
        <v>0</v>
      </c>
      <c r="J43" s="14">
        <f>IFERROR(VLOOKUP(VLOOKUP(IFERROR(LEFT(playground!K56,SEARCH("|",playground!K56,1)-1),""),$C:$D,2,FALSE)&amp;RIGHT(playground!K56,4),expense!$A:$G,$F$2,FALSE),0)</f>
        <v>0</v>
      </c>
      <c r="K43" s="14">
        <f>IFERROR(VLOOKUP(VLOOKUP(IFERROR(LEFT(playground!L56,SEARCH("|",playground!L56,1)-1),""),$C:$D,2,FALSE)&amp;RIGHT(playground!L56,4),expense!$A:$G,$F$2,FALSE),0)</f>
        <v>0</v>
      </c>
      <c r="L43" s="14">
        <f>IFERROR(VLOOKUP(VLOOKUP(IFERROR(LEFT(playground!M56,SEARCH("|",playground!M56,1)-1),""),$C:$D,2,FALSE)&amp;RIGHT(playground!M56,4),expense!$A:$G,$F$2,FALSE),0)</f>
        <v>0</v>
      </c>
      <c r="M43" s="14">
        <f>IFERROR(VLOOKUP(VLOOKUP(IFERROR(LEFT(playground!N56,SEARCH("|",playground!N56,1)-1),""),$C:$D,2,FALSE)&amp;RIGHT(playground!N56,4),expense!$A:$G,$F$2,FALSE),0)</f>
        <v>0</v>
      </c>
      <c r="N43" s="14">
        <f t="shared" si="3"/>
        <v>0</v>
      </c>
    </row>
    <row r="44" spans="1:14" x14ac:dyDescent="0.25">
      <c r="A44">
        <v>43</v>
      </c>
      <c r="B44" t="str">
        <f>IF(playground!G57=0,"",playground!G57)</f>
        <v/>
      </c>
      <c r="C44" t="str">
        <f t="shared" si="0"/>
        <v/>
      </c>
      <c r="D44" t="str">
        <f t="shared" si="1"/>
        <v/>
      </c>
      <c r="E44" t="str">
        <f t="shared" si="2"/>
        <v/>
      </c>
      <c r="G44" s="14">
        <f>IFERROR(VLOOKUP(VLOOKUP(IFERROR(LEFT(playground!H57,SEARCH("|",playground!H57,1)-1),""),$C:$D,2,FALSE)&amp;RIGHT(playground!H57,4),expense!$A:$G,$F$2,FALSE),0)</f>
        <v>2700</v>
      </c>
      <c r="H44" s="14">
        <f>IFERROR(VLOOKUP(VLOOKUP(IFERROR(LEFT(playground!I57,SEARCH("|",playground!I57,1)-1),""),$C:$D,2,FALSE)&amp;RIGHT(playground!I57,4),expense!$A:$G,$F$2,FALSE),0)</f>
        <v>0</v>
      </c>
      <c r="I44" s="14">
        <f>IFERROR(VLOOKUP(VLOOKUP(IFERROR(LEFT(playground!J57,SEARCH("|",playground!J57,1)-1),""),$C:$D,2,FALSE)&amp;RIGHT(playground!J57,4),expense!$A:$G,$F$2,FALSE),0)</f>
        <v>0</v>
      </c>
      <c r="J44" s="14">
        <f>IFERROR(VLOOKUP(VLOOKUP(IFERROR(LEFT(playground!K57,SEARCH("|",playground!K57,1)-1),""),$C:$D,2,FALSE)&amp;RIGHT(playground!K57,4),expense!$A:$G,$F$2,FALSE),0)</f>
        <v>0</v>
      </c>
      <c r="K44" s="14">
        <f>IFERROR(VLOOKUP(VLOOKUP(IFERROR(LEFT(playground!L57,SEARCH("|",playground!L57,1)-1),""),$C:$D,2,FALSE)&amp;RIGHT(playground!L57,4),expense!$A:$G,$F$2,FALSE),0)</f>
        <v>0</v>
      </c>
      <c r="L44" s="14">
        <f>IFERROR(VLOOKUP(VLOOKUP(IFERROR(LEFT(playground!M57,SEARCH("|",playground!M57,1)-1),""),$C:$D,2,FALSE)&amp;RIGHT(playground!M57,4),expense!$A:$G,$F$2,FALSE),0)</f>
        <v>0</v>
      </c>
      <c r="M44" s="14">
        <f>IFERROR(VLOOKUP(VLOOKUP(IFERROR(LEFT(playground!N57,SEARCH("|",playground!N57,1)-1),""),$C:$D,2,FALSE)&amp;RIGHT(playground!N57,4),expense!$A:$G,$F$2,FALSE),0)</f>
        <v>0</v>
      </c>
      <c r="N44" s="14">
        <f t="shared" si="3"/>
        <v>2700</v>
      </c>
    </row>
    <row r="45" spans="1:14" x14ac:dyDescent="0.25">
      <c r="A45">
        <v>44</v>
      </c>
      <c r="B45" t="str">
        <f>IF(playground!G58=0,"",playground!G58)</f>
        <v/>
      </c>
      <c r="C45" t="str">
        <f t="shared" si="0"/>
        <v/>
      </c>
      <c r="D45" t="str">
        <f t="shared" si="1"/>
        <v/>
      </c>
      <c r="E45" t="str">
        <f t="shared" si="2"/>
        <v/>
      </c>
      <c r="G45" s="14">
        <f>IFERROR(VLOOKUP(VLOOKUP(IFERROR(LEFT(playground!H58,SEARCH("|",playground!H58,1)-1),""),$C:$D,2,FALSE)&amp;RIGHT(playground!H58,4),expense!$A:$G,$F$2,FALSE),0)</f>
        <v>0</v>
      </c>
      <c r="H45" s="14">
        <f>IFERROR(VLOOKUP(VLOOKUP(IFERROR(LEFT(playground!I58,SEARCH("|",playground!I58,1)-1),""),$C:$D,2,FALSE)&amp;RIGHT(playground!I58,4),expense!$A:$G,$F$2,FALSE),0)</f>
        <v>0</v>
      </c>
      <c r="I45" s="14">
        <f>IFERROR(VLOOKUP(VLOOKUP(IFERROR(LEFT(playground!J58,SEARCH("|",playground!J58,1)-1),""),$C:$D,2,FALSE)&amp;RIGHT(playground!J58,4),expense!$A:$G,$F$2,FALSE),0)</f>
        <v>0</v>
      </c>
      <c r="J45" s="14">
        <f>IFERROR(VLOOKUP(VLOOKUP(IFERROR(LEFT(playground!K58,SEARCH("|",playground!K58,1)-1),""),$C:$D,2,FALSE)&amp;RIGHT(playground!K58,4),expense!$A:$G,$F$2,FALSE),0)</f>
        <v>0</v>
      </c>
      <c r="K45" s="14">
        <f>IFERROR(VLOOKUP(VLOOKUP(IFERROR(LEFT(playground!L58,SEARCH("|",playground!L58,1)-1),""),$C:$D,2,FALSE)&amp;RIGHT(playground!L58,4),expense!$A:$G,$F$2,FALSE),0)</f>
        <v>0</v>
      </c>
      <c r="L45" s="14">
        <f>IFERROR(VLOOKUP(VLOOKUP(IFERROR(LEFT(playground!M58,SEARCH("|",playground!M58,1)-1),""),$C:$D,2,FALSE)&amp;RIGHT(playground!M58,4),expense!$A:$G,$F$2,FALSE),0)</f>
        <v>0</v>
      </c>
      <c r="M45" s="14">
        <f>IFERROR(VLOOKUP(VLOOKUP(IFERROR(LEFT(playground!N58,SEARCH("|",playground!N58,1)-1),""),$C:$D,2,FALSE)&amp;RIGHT(playground!N58,4),expense!$A:$G,$F$2,FALSE),0)</f>
        <v>0</v>
      </c>
      <c r="N45" s="14">
        <f t="shared" si="3"/>
        <v>0</v>
      </c>
    </row>
    <row r="46" spans="1:14" x14ac:dyDescent="0.25">
      <c r="A46">
        <v>45</v>
      </c>
      <c r="B46" t="str">
        <f>IF(playground!G59=0,"",playground!G59)</f>
        <v/>
      </c>
      <c r="C46" t="str">
        <f t="shared" si="0"/>
        <v/>
      </c>
      <c r="D46" t="str">
        <f t="shared" si="1"/>
        <v/>
      </c>
      <c r="E46" t="str">
        <f t="shared" si="2"/>
        <v/>
      </c>
      <c r="G46" s="14">
        <f>IFERROR(VLOOKUP(VLOOKUP(IFERROR(LEFT(playground!H59,SEARCH("|",playground!H59,1)-1),""),$C:$D,2,FALSE)&amp;RIGHT(playground!H59,4),expense!$A:$G,$F$2,FALSE),0)</f>
        <v>0</v>
      </c>
      <c r="H46" s="14">
        <f>IFERROR(VLOOKUP(VLOOKUP(IFERROR(LEFT(playground!I59,SEARCH("|",playground!I59,1)-1),""),$C:$D,2,FALSE)&amp;RIGHT(playground!I59,4),expense!$A:$G,$F$2,FALSE),0)</f>
        <v>0</v>
      </c>
      <c r="I46" s="14">
        <f>IFERROR(VLOOKUP(VLOOKUP(IFERROR(LEFT(playground!J59,SEARCH("|",playground!J59,1)-1),""),$C:$D,2,FALSE)&amp;RIGHT(playground!J59,4),expense!$A:$G,$F$2,FALSE),0)</f>
        <v>0</v>
      </c>
      <c r="J46" s="14">
        <f>IFERROR(VLOOKUP(VLOOKUP(IFERROR(LEFT(playground!K59,SEARCH("|",playground!K59,1)-1),""),$C:$D,2,FALSE)&amp;RIGHT(playground!K59,4),expense!$A:$G,$F$2,FALSE),0)</f>
        <v>0</v>
      </c>
      <c r="K46" s="14">
        <f>IFERROR(VLOOKUP(VLOOKUP(IFERROR(LEFT(playground!L59,SEARCH("|",playground!L59,1)-1),""),$C:$D,2,FALSE)&amp;RIGHT(playground!L59,4),expense!$A:$G,$F$2,FALSE),0)</f>
        <v>0</v>
      </c>
      <c r="L46" s="14">
        <f>IFERROR(VLOOKUP(VLOOKUP(IFERROR(LEFT(playground!M59,SEARCH("|",playground!M59,1)-1),""),$C:$D,2,FALSE)&amp;RIGHT(playground!M59,4),expense!$A:$G,$F$2,FALSE),0)</f>
        <v>0</v>
      </c>
      <c r="M46" s="14">
        <f>IFERROR(VLOOKUP(VLOOKUP(IFERROR(LEFT(playground!N59,SEARCH("|",playground!N59,1)-1),""),$C:$D,2,FALSE)&amp;RIGHT(playground!N59,4),expense!$A:$G,$F$2,FALSE),0)</f>
        <v>0</v>
      </c>
      <c r="N46" s="14">
        <f t="shared" si="3"/>
        <v>0</v>
      </c>
    </row>
    <row r="47" spans="1:14" x14ac:dyDescent="0.25">
      <c r="A47">
        <v>46</v>
      </c>
      <c r="B47" t="str">
        <f>IF(playground!G60=0,"",playground!G60)</f>
        <v/>
      </c>
      <c r="C47" t="str">
        <f t="shared" si="0"/>
        <v/>
      </c>
      <c r="D47" t="str">
        <f t="shared" si="1"/>
        <v/>
      </c>
      <c r="E47" t="str">
        <f t="shared" si="2"/>
        <v/>
      </c>
      <c r="G47" s="14">
        <f>IFERROR(VLOOKUP(VLOOKUP(IFERROR(LEFT(playground!H60,SEARCH("|",playground!H60,1)-1),""),$C:$D,2,FALSE)&amp;RIGHT(playground!H60,4),expense!$A:$G,$F$2,FALSE),0)</f>
        <v>0</v>
      </c>
      <c r="H47" s="14">
        <f>IFERROR(VLOOKUP(VLOOKUP(IFERROR(LEFT(playground!I60,SEARCH("|",playground!I60,1)-1),""),$C:$D,2,FALSE)&amp;RIGHT(playground!I60,4),expense!$A:$G,$F$2,FALSE),0)</f>
        <v>0</v>
      </c>
      <c r="I47" s="14">
        <f>IFERROR(VLOOKUP(VLOOKUP(IFERROR(LEFT(playground!J60,SEARCH("|",playground!J60,1)-1),""),$C:$D,2,FALSE)&amp;RIGHT(playground!J60,4),expense!$A:$G,$F$2,FALSE),0)</f>
        <v>0</v>
      </c>
      <c r="J47" s="14">
        <f>IFERROR(VLOOKUP(VLOOKUP(IFERROR(LEFT(playground!K60,SEARCH("|",playground!K60,1)-1),""),$C:$D,2,FALSE)&amp;RIGHT(playground!K60,4),expense!$A:$G,$F$2,FALSE),0)</f>
        <v>0</v>
      </c>
      <c r="K47" s="14">
        <f>IFERROR(VLOOKUP(VLOOKUP(IFERROR(LEFT(playground!L60,SEARCH("|",playground!L60,1)-1),""),$C:$D,2,FALSE)&amp;RIGHT(playground!L60,4),expense!$A:$G,$F$2,FALSE),0)</f>
        <v>0</v>
      </c>
      <c r="L47" s="14">
        <f>IFERROR(VLOOKUP(VLOOKUP(IFERROR(LEFT(playground!M60,SEARCH("|",playground!M60,1)-1),""),$C:$D,2,FALSE)&amp;RIGHT(playground!M60,4),expense!$A:$G,$F$2,FALSE),0)</f>
        <v>0</v>
      </c>
      <c r="M47" s="14">
        <f>IFERROR(VLOOKUP(VLOOKUP(IFERROR(LEFT(playground!N60,SEARCH("|",playground!N60,1)-1),""),$C:$D,2,FALSE)&amp;RIGHT(playground!N60,4),expense!$A:$G,$F$2,FALSE),0)</f>
        <v>0</v>
      </c>
      <c r="N47" s="14">
        <f t="shared" si="3"/>
        <v>0</v>
      </c>
    </row>
    <row r="48" spans="1:14" x14ac:dyDescent="0.25">
      <c r="A48">
        <v>47</v>
      </c>
      <c r="B48" t="str">
        <f>IF(playground!G61=0,"",playground!G61)</f>
        <v/>
      </c>
      <c r="C48" t="str">
        <f t="shared" si="0"/>
        <v/>
      </c>
      <c r="D48" t="str">
        <f t="shared" si="1"/>
        <v/>
      </c>
      <c r="E48" t="str">
        <f t="shared" si="2"/>
        <v/>
      </c>
      <c r="G48" s="14">
        <f>IFERROR(VLOOKUP(VLOOKUP(IFERROR(LEFT(playground!H61,SEARCH("|",playground!H61,1)-1),""),$C:$D,2,FALSE)&amp;RIGHT(playground!H61,4),expense!$A:$G,$F$2,FALSE),0)</f>
        <v>5400</v>
      </c>
      <c r="H48" s="14">
        <f>IFERROR(VLOOKUP(VLOOKUP(IFERROR(LEFT(playground!I61,SEARCH("|",playground!I61,1)-1),""),$C:$D,2,FALSE)&amp;RIGHT(playground!I61,4),expense!$A:$G,$F$2,FALSE),0)</f>
        <v>595</v>
      </c>
      <c r="I48" s="14">
        <f>IFERROR(VLOOKUP(VLOOKUP(IFERROR(LEFT(playground!J61,SEARCH("|",playground!J61,1)-1),""),$C:$D,2,FALSE)&amp;RIGHT(playground!J61,4),expense!$A:$G,$F$2,FALSE),0)</f>
        <v>270</v>
      </c>
      <c r="J48" s="14">
        <f>IFERROR(VLOOKUP(VLOOKUP(IFERROR(LEFT(playground!K61,SEARCH("|",playground!K61,1)-1),""),$C:$D,2,FALSE)&amp;RIGHT(playground!K61,4),expense!$A:$G,$F$2,FALSE),0)</f>
        <v>0</v>
      </c>
      <c r="K48" s="14">
        <f>IFERROR(VLOOKUP(VLOOKUP(IFERROR(LEFT(playground!L61,SEARCH("|",playground!L61,1)-1),""),$C:$D,2,FALSE)&amp;RIGHT(playground!L61,4),expense!$A:$G,$F$2,FALSE),0)</f>
        <v>0</v>
      </c>
      <c r="L48" s="14">
        <f>IFERROR(VLOOKUP(VLOOKUP(IFERROR(LEFT(playground!M61,SEARCH("|",playground!M61,1)-1),""),$C:$D,2,FALSE)&amp;RIGHT(playground!M61,4),expense!$A:$G,$F$2,FALSE),0)</f>
        <v>0</v>
      </c>
      <c r="M48" s="14">
        <f>IFERROR(VLOOKUP(VLOOKUP(IFERROR(LEFT(playground!N61,SEARCH("|",playground!N61,1)-1),""),$C:$D,2,FALSE)&amp;RIGHT(playground!N61,4),expense!$A:$G,$F$2,FALSE),0)</f>
        <v>0</v>
      </c>
      <c r="N48" s="14">
        <f t="shared" si="3"/>
        <v>6265</v>
      </c>
    </row>
    <row r="49" spans="1:14" x14ac:dyDescent="0.25">
      <c r="A49">
        <v>48</v>
      </c>
      <c r="B49" t="str">
        <f>IF(playground!G62=0,"",playground!G62)</f>
        <v/>
      </c>
      <c r="C49" t="str">
        <f t="shared" si="0"/>
        <v/>
      </c>
      <c r="D49" t="str">
        <f t="shared" si="1"/>
        <v/>
      </c>
      <c r="E49" t="str">
        <f t="shared" si="2"/>
        <v/>
      </c>
      <c r="G49" s="14">
        <f>IFERROR(VLOOKUP(VLOOKUP(IFERROR(LEFT(playground!H62,SEARCH("|",playground!H62,1)-1),""),$C:$D,2,FALSE)&amp;RIGHT(playground!H62,4),expense!$A:$G,$F$2,FALSE),0)</f>
        <v>1295</v>
      </c>
      <c r="H49" s="14">
        <f>IFERROR(VLOOKUP(VLOOKUP(IFERROR(LEFT(playground!I62,SEARCH("|",playground!I62,1)-1),""),$C:$D,2,FALSE)&amp;RIGHT(playground!I62,4),expense!$A:$G,$F$2,FALSE),0)</f>
        <v>270</v>
      </c>
      <c r="I49" s="14">
        <f>IFERROR(VLOOKUP(VLOOKUP(IFERROR(LEFT(playground!J62,SEARCH("|",playground!J62,1)-1),""),$C:$D,2,FALSE)&amp;RIGHT(playground!J62,4),expense!$A:$G,$F$2,FALSE),0)</f>
        <v>0</v>
      </c>
      <c r="J49" s="14">
        <f>IFERROR(VLOOKUP(VLOOKUP(IFERROR(LEFT(playground!K62,SEARCH("|",playground!K62,1)-1),""),$C:$D,2,FALSE)&amp;RIGHT(playground!K62,4),expense!$A:$G,$F$2,FALSE),0)</f>
        <v>0</v>
      </c>
      <c r="K49" s="14">
        <f>IFERROR(VLOOKUP(VLOOKUP(IFERROR(LEFT(playground!L62,SEARCH("|",playground!L62,1)-1),""),$C:$D,2,FALSE)&amp;RIGHT(playground!L62,4),expense!$A:$G,$F$2,FALSE),0)</f>
        <v>0</v>
      </c>
      <c r="L49" s="14">
        <f>IFERROR(VLOOKUP(VLOOKUP(IFERROR(LEFT(playground!M62,SEARCH("|",playground!M62,1)-1),""),$C:$D,2,FALSE)&amp;RIGHT(playground!M62,4),expense!$A:$G,$F$2,FALSE),0)</f>
        <v>0</v>
      </c>
      <c r="M49" s="14">
        <f>IFERROR(VLOOKUP(VLOOKUP(IFERROR(LEFT(playground!N62,SEARCH("|",playground!N62,1)-1),""),$C:$D,2,FALSE)&amp;RIGHT(playground!N62,4),expense!$A:$G,$F$2,FALSE),0)</f>
        <v>0</v>
      </c>
      <c r="N49" s="14">
        <f t="shared" si="3"/>
        <v>1565</v>
      </c>
    </row>
    <row r="50" spans="1:14" x14ac:dyDescent="0.25">
      <c r="A50">
        <v>49</v>
      </c>
      <c r="B50" t="str">
        <f>IF(playground!G63=0,"",playground!G63)</f>
        <v/>
      </c>
      <c r="C50" t="str">
        <f t="shared" si="0"/>
        <v/>
      </c>
      <c r="D50" t="str">
        <f t="shared" si="1"/>
        <v/>
      </c>
      <c r="E50" t="str">
        <f t="shared" si="2"/>
        <v/>
      </c>
      <c r="G50" s="14">
        <f>IFERROR(VLOOKUP(VLOOKUP(IFERROR(LEFT(playground!H63,SEARCH("|",playground!H63,1)-1),""),$C:$D,2,FALSE)&amp;RIGHT(playground!H63,4),expense!$A:$G,$F$2,FALSE),0)</f>
        <v>2160</v>
      </c>
      <c r="H50" s="14">
        <f>IFERROR(VLOOKUP(VLOOKUP(IFERROR(LEFT(playground!I63,SEARCH("|",playground!I63,1)-1),""),$C:$D,2,FALSE)&amp;RIGHT(playground!I63,4),expense!$A:$G,$F$2,FALSE),0)</f>
        <v>430</v>
      </c>
      <c r="I50" s="14">
        <f>IFERROR(VLOOKUP(VLOOKUP(IFERROR(LEFT(playground!J63,SEARCH("|",playground!J63,1)-1),""),$C:$D,2,FALSE)&amp;RIGHT(playground!J63,4),expense!$A:$G,$F$2,FALSE),0)</f>
        <v>270</v>
      </c>
      <c r="J50" s="14">
        <f>IFERROR(VLOOKUP(VLOOKUP(IFERROR(LEFT(playground!K63,SEARCH("|",playground!K63,1)-1),""),$C:$D,2,FALSE)&amp;RIGHT(playground!K63,4),expense!$A:$G,$F$2,FALSE),0)</f>
        <v>0</v>
      </c>
      <c r="K50" s="14">
        <f>IFERROR(VLOOKUP(VLOOKUP(IFERROR(LEFT(playground!L63,SEARCH("|",playground!L63,1)-1),""),$C:$D,2,FALSE)&amp;RIGHT(playground!L63,4),expense!$A:$G,$F$2,FALSE),0)</f>
        <v>0</v>
      </c>
      <c r="L50" s="14">
        <f>IFERROR(VLOOKUP(VLOOKUP(IFERROR(LEFT(playground!M63,SEARCH("|",playground!M63,1)-1),""),$C:$D,2,FALSE)&amp;RIGHT(playground!M63,4),expense!$A:$G,$F$2,FALSE),0)</f>
        <v>0</v>
      </c>
      <c r="M50" s="14">
        <f>IFERROR(VLOOKUP(VLOOKUP(IFERROR(LEFT(playground!N63,SEARCH("|",playground!N63,1)-1),""),$C:$D,2,FALSE)&amp;RIGHT(playground!N63,4),expense!$A:$G,$F$2,FALSE),0)</f>
        <v>0</v>
      </c>
      <c r="N50" s="14">
        <f t="shared" si="3"/>
        <v>2860</v>
      </c>
    </row>
    <row r="51" spans="1:14" x14ac:dyDescent="0.25">
      <c r="A51">
        <v>50</v>
      </c>
      <c r="B51" t="str">
        <f>IF(playground!G64=0,"",playground!G64)</f>
        <v/>
      </c>
      <c r="C51" t="str">
        <f t="shared" si="0"/>
        <v/>
      </c>
      <c r="D51" t="str">
        <f t="shared" si="1"/>
        <v/>
      </c>
      <c r="E51" t="str">
        <f t="shared" si="2"/>
        <v/>
      </c>
      <c r="G51" s="14">
        <f>IFERROR(VLOOKUP(VLOOKUP(IFERROR(LEFT(playground!H64,SEARCH("|",playground!H64,1)-1),""),$C:$D,2,FALSE)&amp;RIGHT(playground!H64,4),expense!$A:$G,$F$2,FALSE),0)</f>
        <v>1620</v>
      </c>
      <c r="H51" s="14">
        <f>IFERROR(VLOOKUP(VLOOKUP(IFERROR(LEFT(playground!I64,SEARCH("|",playground!I64,1)-1),""),$C:$D,2,FALSE)&amp;RIGHT(playground!I64,4),expense!$A:$G,$F$2,FALSE),0)</f>
        <v>515</v>
      </c>
      <c r="I51" s="14">
        <f>IFERROR(VLOOKUP(VLOOKUP(IFERROR(LEFT(playground!J64,SEARCH("|",playground!J64,1)-1),""),$C:$D,2,FALSE)&amp;RIGHT(playground!J64,4),expense!$A:$G,$F$2,FALSE),0)</f>
        <v>380</v>
      </c>
      <c r="J51" s="14">
        <f>IFERROR(VLOOKUP(VLOOKUP(IFERROR(LEFT(playground!K64,SEARCH("|",playground!K64,1)-1),""),$C:$D,2,FALSE)&amp;RIGHT(playground!K64,4),expense!$A:$G,$F$2,FALSE),0)</f>
        <v>1405</v>
      </c>
      <c r="K51" s="14">
        <f>IFERROR(VLOOKUP(VLOOKUP(IFERROR(LEFT(playground!L64,SEARCH("|",playground!L64,1)-1),""),$C:$D,2,FALSE)&amp;RIGHT(playground!L64,4),expense!$A:$G,$F$2,FALSE),0)</f>
        <v>0</v>
      </c>
      <c r="L51" s="14">
        <f>IFERROR(VLOOKUP(VLOOKUP(IFERROR(LEFT(playground!M64,SEARCH("|",playground!M64,1)-1),""),$C:$D,2,FALSE)&amp;RIGHT(playground!M64,4),expense!$A:$G,$F$2,FALSE),0)</f>
        <v>0</v>
      </c>
      <c r="M51" s="14">
        <f>IFERROR(VLOOKUP(VLOOKUP(IFERROR(LEFT(playground!N64,SEARCH("|",playground!N64,1)-1),""),$C:$D,2,FALSE)&amp;RIGHT(playground!N64,4),expense!$A:$G,$F$2,FALSE),0)</f>
        <v>0</v>
      </c>
      <c r="N51" s="14">
        <f t="shared" si="3"/>
        <v>3920</v>
      </c>
    </row>
    <row r="52" spans="1:14" x14ac:dyDescent="0.25">
      <c r="A52">
        <v>51</v>
      </c>
      <c r="B52" t="str">
        <f>IF(playground!G65=0,"",playground!G65)</f>
        <v/>
      </c>
      <c r="C52" t="str">
        <f t="shared" si="0"/>
        <v/>
      </c>
      <c r="D52" t="str">
        <f t="shared" si="1"/>
        <v/>
      </c>
      <c r="E52" t="str">
        <f t="shared" si="2"/>
        <v/>
      </c>
      <c r="G52" s="14">
        <f>IFERROR(VLOOKUP(VLOOKUP(IFERROR(LEFT(playground!H65,SEARCH("|",playground!H65,1)-1),""),$C:$D,2,FALSE)&amp;RIGHT(playground!H65,4),expense!$A:$G,$F$2,FALSE),0)</f>
        <v>3185</v>
      </c>
      <c r="H52" s="14">
        <f>IFERROR(VLOOKUP(VLOOKUP(IFERROR(LEFT(playground!I65,SEARCH("|",playground!I65,1)-1),""),$C:$D,2,FALSE)&amp;RIGHT(playground!I65,4),expense!$A:$G,$F$2,FALSE),0)</f>
        <v>0</v>
      </c>
      <c r="I52" s="14">
        <f>IFERROR(VLOOKUP(VLOOKUP(IFERROR(LEFT(playground!J65,SEARCH("|",playground!J65,1)-1),""),$C:$D,2,FALSE)&amp;RIGHT(playground!J65,4),expense!$A:$G,$F$2,FALSE),0)</f>
        <v>0</v>
      </c>
      <c r="J52" s="14">
        <f>IFERROR(VLOOKUP(VLOOKUP(IFERROR(LEFT(playground!K65,SEARCH("|",playground!K65,1)-1),""),$C:$D,2,FALSE)&amp;RIGHT(playground!K65,4),expense!$A:$G,$F$2,FALSE),0)</f>
        <v>0</v>
      </c>
      <c r="K52" s="14">
        <f>IFERROR(VLOOKUP(VLOOKUP(IFERROR(LEFT(playground!L65,SEARCH("|",playground!L65,1)-1),""),$C:$D,2,FALSE)&amp;RIGHT(playground!L65,4),expense!$A:$G,$F$2,FALSE),0)</f>
        <v>0</v>
      </c>
      <c r="L52" s="14">
        <f>IFERROR(VLOOKUP(VLOOKUP(IFERROR(LEFT(playground!M65,SEARCH("|",playground!M65,1)-1),""),$C:$D,2,FALSE)&amp;RIGHT(playground!M65,4),expense!$A:$G,$F$2,FALSE),0)</f>
        <v>0</v>
      </c>
      <c r="M52" s="14">
        <f>IFERROR(VLOOKUP(VLOOKUP(IFERROR(LEFT(playground!N65,SEARCH("|",playground!N65,1)-1),""),$C:$D,2,FALSE)&amp;RIGHT(playground!N65,4),expense!$A:$G,$F$2,FALSE),0)</f>
        <v>0</v>
      </c>
      <c r="N52" s="14">
        <f t="shared" si="3"/>
        <v>3185</v>
      </c>
    </row>
    <row r="53" spans="1:14" x14ac:dyDescent="0.25">
      <c r="A53">
        <v>52</v>
      </c>
      <c r="B53" t="str">
        <f>IF(playground!G66=0,"",playground!G66)</f>
        <v/>
      </c>
      <c r="C53" t="str">
        <f t="shared" si="0"/>
        <v/>
      </c>
      <c r="D53" t="str">
        <f t="shared" si="1"/>
        <v/>
      </c>
      <c r="E53" t="str">
        <f t="shared" si="2"/>
        <v/>
      </c>
      <c r="G53" s="14">
        <f>IFERROR(VLOOKUP(VLOOKUP(IFERROR(LEFT(playground!H66,SEARCH("|",playground!H66,1)-1),""),$C:$D,2,FALSE)&amp;RIGHT(playground!H66,4),expense!$A:$G,$F$2,FALSE),0)</f>
        <v>865</v>
      </c>
      <c r="H53" s="14">
        <f>IFERROR(VLOOKUP(VLOOKUP(IFERROR(LEFT(playground!I66,SEARCH("|",playground!I66,1)-1),""),$C:$D,2,FALSE)&amp;RIGHT(playground!I66,4),expense!$A:$G,$F$2,FALSE),0)</f>
        <v>700</v>
      </c>
      <c r="I53" s="14">
        <f>IFERROR(VLOOKUP(VLOOKUP(IFERROR(LEFT(playground!J66,SEARCH("|",playground!J66,1)-1),""),$C:$D,2,FALSE)&amp;RIGHT(playground!J66,4),expense!$A:$G,$F$2,FALSE),0)</f>
        <v>0</v>
      </c>
      <c r="J53" s="14">
        <f>IFERROR(VLOOKUP(VLOOKUP(IFERROR(LEFT(playground!K66,SEARCH("|",playground!K66,1)-1),""),$C:$D,2,FALSE)&amp;RIGHT(playground!K66,4),expense!$A:$G,$F$2,FALSE),0)</f>
        <v>0</v>
      </c>
      <c r="K53" s="14">
        <f>IFERROR(VLOOKUP(VLOOKUP(IFERROR(LEFT(playground!L66,SEARCH("|",playground!L66,1)-1),""),$C:$D,2,FALSE)&amp;RIGHT(playground!L66,4),expense!$A:$G,$F$2,FALSE),0)</f>
        <v>0</v>
      </c>
      <c r="L53" s="14">
        <f>IFERROR(VLOOKUP(VLOOKUP(IFERROR(LEFT(playground!M66,SEARCH("|",playground!M66,1)-1),""),$C:$D,2,FALSE)&amp;RIGHT(playground!M66,4),expense!$A:$G,$F$2,FALSE),0)</f>
        <v>0</v>
      </c>
      <c r="M53" s="14">
        <f>IFERROR(VLOOKUP(VLOOKUP(IFERROR(LEFT(playground!N66,SEARCH("|",playground!N66,1)-1),""),$C:$D,2,FALSE)&amp;RIGHT(playground!N66,4),expense!$A:$G,$F$2,FALSE),0)</f>
        <v>0</v>
      </c>
      <c r="N53" s="14">
        <f t="shared" si="3"/>
        <v>1565</v>
      </c>
    </row>
    <row r="54" spans="1:14" x14ac:dyDescent="0.25">
      <c r="A54">
        <v>53</v>
      </c>
      <c r="B54" t="str">
        <f>IF(playground!G67=0,"",playground!G67)</f>
        <v/>
      </c>
      <c r="C54" t="str">
        <f t="shared" si="0"/>
        <v/>
      </c>
      <c r="D54" t="str">
        <f t="shared" si="1"/>
        <v/>
      </c>
      <c r="E54" t="str">
        <f t="shared" si="2"/>
        <v/>
      </c>
      <c r="G54" s="14">
        <f>IFERROR(VLOOKUP(VLOOKUP(IFERROR(LEFT(playground!H67,SEARCH("|",playground!H67,1)-1),""),$C:$D,2,FALSE)&amp;RIGHT(playground!H67,4),expense!$A:$G,$F$2,FALSE),0)</f>
        <v>700</v>
      </c>
      <c r="H54" s="14">
        <f>IFERROR(VLOOKUP(VLOOKUP(IFERROR(LEFT(playground!I67,SEARCH("|",playground!I67,1)-1),""),$C:$D,2,FALSE)&amp;RIGHT(playground!I67,4),expense!$A:$G,$F$2,FALSE),0)</f>
        <v>540</v>
      </c>
      <c r="I54" s="14">
        <f>IFERROR(VLOOKUP(VLOOKUP(IFERROR(LEFT(playground!J67,SEARCH("|",playground!J67,1)-1),""),$C:$D,2,FALSE)&amp;RIGHT(playground!J67,4),expense!$A:$G,$F$2,FALSE),0)</f>
        <v>595</v>
      </c>
      <c r="J54" s="14">
        <f>IFERROR(VLOOKUP(VLOOKUP(IFERROR(LEFT(playground!K67,SEARCH("|",playground!K67,1)-1),""),$C:$D,2,FALSE)&amp;RIGHT(playground!K67,4),expense!$A:$G,$F$2,FALSE),0)</f>
        <v>0</v>
      </c>
      <c r="K54" s="14">
        <f>IFERROR(VLOOKUP(VLOOKUP(IFERROR(LEFT(playground!L67,SEARCH("|",playground!L67,1)-1),""),$C:$D,2,FALSE)&amp;RIGHT(playground!L67,4),expense!$A:$G,$F$2,FALSE),0)</f>
        <v>0</v>
      </c>
      <c r="L54" s="14">
        <f>IFERROR(VLOOKUP(VLOOKUP(IFERROR(LEFT(playground!M67,SEARCH("|",playground!M67,1)-1),""),$C:$D,2,FALSE)&amp;RIGHT(playground!M67,4),expense!$A:$G,$F$2,FALSE),0)</f>
        <v>0</v>
      </c>
      <c r="M54" s="14">
        <f>IFERROR(VLOOKUP(VLOOKUP(IFERROR(LEFT(playground!N67,SEARCH("|",playground!N67,1)-1),""),$C:$D,2,FALSE)&amp;RIGHT(playground!N67,4),expense!$A:$G,$F$2,FALSE),0)</f>
        <v>0</v>
      </c>
      <c r="N54" s="14">
        <f t="shared" si="3"/>
        <v>1835</v>
      </c>
    </row>
    <row r="55" spans="1:14" x14ac:dyDescent="0.25">
      <c r="A55">
        <v>54</v>
      </c>
      <c r="B55" t="str">
        <f>IF(playground!G68=0,"",playground!G68)</f>
        <v/>
      </c>
      <c r="C55" t="str">
        <f t="shared" si="0"/>
        <v/>
      </c>
      <c r="D55" t="str">
        <f t="shared" si="1"/>
        <v/>
      </c>
      <c r="E55" t="str">
        <f t="shared" si="2"/>
        <v/>
      </c>
      <c r="G55" s="14">
        <f>IFERROR(VLOOKUP(VLOOKUP(IFERROR(LEFT(playground!H68,SEARCH("|",playground!H68,1)-1),""),$C:$D,2,FALSE)&amp;RIGHT(playground!H68,4),expense!$A:$G,$F$2,FALSE),0)</f>
        <v>0</v>
      </c>
      <c r="H55" s="14">
        <f>IFERROR(VLOOKUP(VLOOKUP(IFERROR(LEFT(playground!I68,SEARCH("|",playground!I68,1)-1),""),$C:$D,2,FALSE)&amp;RIGHT(playground!I68,4),expense!$A:$G,$F$2,FALSE),0)</f>
        <v>0</v>
      </c>
      <c r="I55" s="14">
        <f>IFERROR(VLOOKUP(VLOOKUP(IFERROR(LEFT(playground!J68,SEARCH("|",playground!J68,1)-1),""),$C:$D,2,FALSE)&amp;RIGHT(playground!J68,4),expense!$A:$G,$F$2,FALSE),0)</f>
        <v>0</v>
      </c>
      <c r="J55" s="14">
        <f>IFERROR(VLOOKUP(VLOOKUP(IFERROR(LEFT(playground!K68,SEARCH("|",playground!K68,1)-1),""),$C:$D,2,FALSE)&amp;RIGHT(playground!K68,4),expense!$A:$G,$F$2,FALSE),0)</f>
        <v>0</v>
      </c>
      <c r="K55" s="14">
        <f>IFERROR(VLOOKUP(VLOOKUP(IFERROR(LEFT(playground!L68,SEARCH("|",playground!L68,1)-1),""),$C:$D,2,FALSE)&amp;RIGHT(playground!L68,4),expense!$A:$G,$F$2,FALSE),0)</f>
        <v>0</v>
      </c>
      <c r="L55" s="14">
        <f>IFERROR(VLOOKUP(VLOOKUP(IFERROR(LEFT(playground!M68,SEARCH("|",playground!M68,1)-1),""),$C:$D,2,FALSE)&amp;RIGHT(playground!M68,4),expense!$A:$G,$F$2,FALSE),0)</f>
        <v>0</v>
      </c>
      <c r="M55" s="14">
        <f>IFERROR(VLOOKUP(VLOOKUP(IFERROR(LEFT(playground!N68,SEARCH("|",playground!N68,1)-1),""),$C:$D,2,FALSE)&amp;RIGHT(playground!N68,4),expense!$A:$G,$F$2,FALSE),0)</f>
        <v>0</v>
      </c>
      <c r="N55" s="14">
        <f t="shared" si="3"/>
        <v>0</v>
      </c>
    </row>
    <row r="56" spans="1:14" x14ac:dyDescent="0.25">
      <c r="A56">
        <v>55</v>
      </c>
      <c r="B56" t="str">
        <f>IF(playground!G69=0,"",playground!G69)</f>
        <v/>
      </c>
      <c r="C56" t="str">
        <f t="shared" si="0"/>
        <v/>
      </c>
      <c r="D56" t="str">
        <f t="shared" si="1"/>
        <v/>
      </c>
      <c r="E56" t="str">
        <f t="shared" si="2"/>
        <v/>
      </c>
      <c r="G56" s="14">
        <f>IFERROR(VLOOKUP(VLOOKUP(IFERROR(LEFT(playground!H69,SEARCH("|",playground!H69,1)-1),""),$C:$D,2,FALSE)&amp;RIGHT(playground!H69,4),expense!$A:$G,$F$2,FALSE),0)</f>
        <v>2755</v>
      </c>
      <c r="H56" s="14">
        <f>IFERROR(VLOOKUP(VLOOKUP(IFERROR(LEFT(playground!I69,SEARCH("|",playground!I69,1)-1),""),$C:$D,2,FALSE)&amp;RIGHT(playground!I69,4),expense!$A:$G,$F$2,FALSE),0)</f>
        <v>0</v>
      </c>
      <c r="I56" s="14">
        <f>IFERROR(VLOOKUP(VLOOKUP(IFERROR(LEFT(playground!J69,SEARCH("|",playground!J69,1)-1),""),$C:$D,2,FALSE)&amp;RIGHT(playground!J69,4),expense!$A:$G,$F$2,FALSE),0)</f>
        <v>0</v>
      </c>
      <c r="J56" s="14">
        <f>IFERROR(VLOOKUP(VLOOKUP(IFERROR(LEFT(playground!K69,SEARCH("|",playground!K69,1)-1),""),$C:$D,2,FALSE)&amp;RIGHT(playground!K69,4),expense!$A:$G,$F$2,FALSE),0)</f>
        <v>0</v>
      </c>
      <c r="K56" s="14">
        <f>IFERROR(VLOOKUP(VLOOKUP(IFERROR(LEFT(playground!L69,SEARCH("|",playground!L69,1)-1),""),$C:$D,2,FALSE)&amp;RIGHT(playground!L69,4),expense!$A:$G,$F$2,FALSE),0)</f>
        <v>0</v>
      </c>
      <c r="L56" s="14">
        <f>IFERROR(VLOOKUP(VLOOKUP(IFERROR(LEFT(playground!M69,SEARCH("|",playground!M69,1)-1),""),$C:$D,2,FALSE)&amp;RIGHT(playground!M69,4),expense!$A:$G,$F$2,FALSE),0)</f>
        <v>0</v>
      </c>
      <c r="M56" s="14">
        <f>IFERROR(VLOOKUP(VLOOKUP(IFERROR(LEFT(playground!N69,SEARCH("|",playground!N69,1)-1),""),$C:$D,2,FALSE)&amp;RIGHT(playground!N69,4),expense!$A:$G,$F$2,FALSE),0)</f>
        <v>0</v>
      </c>
      <c r="N56" s="14">
        <f t="shared" si="3"/>
        <v>2755</v>
      </c>
    </row>
    <row r="57" spans="1:14" x14ac:dyDescent="0.25">
      <c r="A57">
        <v>56</v>
      </c>
      <c r="B57" t="str">
        <f>IF(playground!G70=0,"",playground!G70)</f>
        <v/>
      </c>
      <c r="C57" t="str">
        <f t="shared" si="0"/>
        <v/>
      </c>
      <c r="D57" t="str">
        <f t="shared" si="1"/>
        <v/>
      </c>
      <c r="E57" t="str">
        <f t="shared" si="2"/>
        <v/>
      </c>
      <c r="G57" s="14">
        <f>IFERROR(VLOOKUP(VLOOKUP(IFERROR(LEFT(playground!H70,SEARCH("|",playground!H70,1)-1),""),$C:$D,2,FALSE)&amp;RIGHT(playground!H70,4),expense!$A:$G,$F$2,FALSE),0)</f>
        <v>2160</v>
      </c>
      <c r="H57" s="14">
        <f>IFERROR(VLOOKUP(VLOOKUP(IFERROR(LEFT(playground!I70,SEARCH("|",playground!I70,1)-1),""),$C:$D,2,FALSE)&amp;RIGHT(playground!I70,4),expense!$A:$G,$F$2,FALSE),0)</f>
        <v>0</v>
      </c>
      <c r="I57" s="14">
        <f>IFERROR(VLOOKUP(VLOOKUP(IFERROR(LEFT(playground!J70,SEARCH("|",playground!J70,1)-1),""),$C:$D,2,FALSE)&amp;RIGHT(playground!J70,4),expense!$A:$G,$F$2,FALSE),0)</f>
        <v>0</v>
      </c>
      <c r="J57" s="14">
        <f>IFERROR(VLOOKUP(VLOOKUP(IFERROR(LEFT(playground!K70,SEARCH("|",playground!K70,1)-1),""),$C:$D,2,FALSE)&amp;RIGHT(playground!K70,4),expense!$A:$G,$F$2,FALSE),0)</f>
        <v>0</v>
      </c>
      <c r="K57" s="14">
        <f>IFERROR(VLOOKUP(VLOOKUP(IFERROR(LEFT(playground!L70,SEARCH("|",playground!L70,1)-1),""),$C:$D,2,FALSE)&amp;RIGHT(playground!L70,4),expense!$A:$G,$F$2,FALSE),0)</f>
        <v>0</v>
      </c>
      <c r="L57" s="14">
        <f>IFERROR(VLOOKUP(VLOOKUP(IFERROR(LEFT(playground!M70,SEARCH("|",playground!M70,1)-1),""),$C:$D,2,FALSE)&amp;RIGHT(playground!M70,4),expense!$A:$G,$F$2,FALSE),0)</f>
        <v>0</v>
      </c>
      <c r="M57" s="14">
        <f>IFERROR(VLOOKUP(VLOOKUP(IFERROR(LEFT(playground!N70,SEARCH("|",playground!N70,1)-1),""),$C:$D,2,FALSE)&amp;RIGHT(playground!N70,4),expense!$A:$G,$F$2,FALSE),0)</f>
        <v>0</v>
      </c>
      <c r="N57" s="14">
        <f t="shared" si="3"/>
        <v>2160</v>
      </c>
    </row>
    <row r="58" spans="1:14" x14ac:dyDescent="0.25">
      <c r="A58">
        <v>57</v>
      </c>
      <c r="B58" t="str">
        <f>IF(playground!G71=0,"",playground!G71)</f>
        <v/>
      </c>
      <c r="C58" t="str">
        <f t="shared" si="0"/>
        <v/>
      </c>
      <c r="D58" t="str">
        <f t="shared" si="1"/>
        <v/>
      </c>
      <c r="E58" t="str">
        <f t="shared" si="2"/>
        <v/>
      </c>
      <c r="G58" s="14">
        <f>IFERROR(VLOOKUP(VLOOKUP(IFERROR(LEFT(playground!H71,SEARCH("|",playground!H71,1)-1),""),$C:$D,2,FALSE)&amp;RIGHT(playground!H71,4),expense!$A:$G,$F$2,FALSE),0)</f>
        <v>0</v>
      </c>
      <c r="H58" s="14">
        <f>IFERROR(VLOOKUP(VLOOKUP(IFERROR(LEFT(playground!I71,SEARCH("|",playground!I71,1)-1),""),$C:$D,2,FALSE)&amp;RIGHT(playground!I71,4),expense!$A:$G,$F$2,FALSE),0)</f>
        <v>0</v>
      </c>
      <c r="I58" s="14">
        <f>IFERROR(VLOOKUP(VLOOKUP(IFERROR(LEFT(playground!J71,SEARCH("|",playground!J71,1)-1),""),$C:$D,2,FALSE)&amp;RIGHT(playground!J71,4),expense!$A:$G,$F$2,FALSE),0)</f>
        <v>0</v>
      </c>
      <c r="J58" s="14">
        <f>IFERROR(VLOOKUP(VLOOKUP(IFERROR(LEFT(playground!K71,SEARCH("|",playground!K71,1)-1),""),$C:$D,2,FALSE)&amp;RIGHT(playground!K71,4),expense!$A:$G,$F$2,FALSE),0)</f>
        <v>0</v>
      </c>
      <c r="K58" s="14">
        <f>IFERROR(VLOOKUP(VLOOKUP(IFERROR(LEFT(playground!L71,SEARCH("|",playground!L71,1)-1),""),$C:$D,2,FALSE)&amp;RIGHT(playground!L71,4),expense!$A:$G,$F$2,FALSE),0)</f>
        <v>0</v>
      </c>
      <c r="L58" s="14">
        <f>IFERROR(VLOOKUP(VLOOKUP(IFERROR(LEFT(playground!M71,SEARCH("|",playground!M71,1)-1),""),$C:$D,2,FALSE)&amp;RIGHT(playground!M71,4),expense!$A:$G,$F$2,FALSE),0)</f>
        <v>0</v>
      </c>
      <c r="M58" s="14">
        <f>IFERROR(VLOOKUP(VLOOKUP(IFERROR(LEFT(playground!N71,SEARCH("|",playground!N71,1)-1),""),$C:$D,2,FALSE)&amp;RIGHT(playground!N71,4),expense!$A:$G,$F$2,FALSE),0)</f>
        <v>0</v>
      </c>
      <c r="N58" s="14">
        <f t="shared" si="3"/>
        <v>0</v>
      </c>
    </row>
    <row r="59" spans="1:14" x14ac:dyDescent="0.25">
      <c r="A59">
        <v>58</v>
      </c>
      <c r="B59" t="str">
        <f>IF(playground!G72=0,"",playground!G72)</f>
        <v/>
      </c>
      <c r="C59" t="str">
        <f t="shared" si="0"/>
        <v/>
      </c>
      <c r="D59" t="str">
        <f t="shared" si="1"/>
        <v/>
      </c>
      <c r="E59" t="str">
        <f t="shared" si="2"/>
        <v/>
      </c>
      <c r="G59" s="14">
        <f>IFERROR(VLOOKUP(VLOOKUP(IFERROR(LEFT(playground!H72,SEARCH("|",playground!H72,1)-1),""),$C:$D,2,FALSE)&amp;RIGHT(playground!H72,4),expense!$A:$G,$F$2,FALSE),0)</f>
        <v>0</v>
      </c>
      <c r="H59" s="14">
        <f>IFERROR(VLOOKUP(VLOOKUP(IFERROR(LEFT(playground!I72,SEARCH("|",playground!I72,1)-1),""),$C:$D,2,FALSE)&amp;RIGHT(playground!I72,4),expense!$A:$G,$F$2,FALSE),0)</f>
        <v>0</v>
      </c>
      <c r="I59" s="14">
        <f>IFERROR(VLOOKUP(VLOOKUP(IFERROR(LEFT(playground!J72,SEARCH("|",playground!J72,1)-1),""),$C:$D,2,FALSE)&amp;RIGHT(playground!J72,4),expense!$A:$G,$F$2,FALSE),0)</f>
        <v>0</v>
      </c>
      <c r="J59" s="14">
        <f>IFERROR(VLOOKUP(VLOOKUP(IFERROR(LEFT(playground!K72,SEARCH("|",playground!K72,1)-1),""),$C:$D,2,FALSE)&amp;RIGHT(playground!K72,4),expense!$A:$G,$F$2,FALSE),0)</f>
        <v>0</v>
      </c>
      <c r="K59" s="14">
        <f>IFERROR(VLOOKUP(VLOOKUP(IFERROR(LEFT(playground!L72,SEARCH("|",playground!L72,1)-1),""),$C:$D,2,FALSE)&amp;RIGHT(playground!L72,4),expense!$A:$G,$F$2,FALSE),0)</f>
        <v>0</v>
      </c>
      <c r="L59" s="14">
        <f>IFERROR(VLOOKUP(VLOOKUP(IFERROR(LEFT(playground!M72,SEARCH("|",playground!M72,1)-1),""),$C:$D,2,FALSE)&amp;RIGHT(playground!M72,4),expense!$A:$G,$F$2,FALSE),0)</f>
        <v>0</v>
      </c>
      <c r="M59" s="14">
        <f>IFERROR(VLOOKUP(VLOOKUP(IFERROR(LEFT(playground!N72,SEARCH("|",playground!N72,1)-1),""),$C:$D,2,FALSE)&amp;RIGHT(playground!N72,4),expense!$A:$G,$F$2,FALSE),0)</f>
        <v>0</v>
      </c>
      <c r="N59" s="14">
        <f t="shared" si="3"/>
        <v>0</v>
      </c>
    </row>
    <row r="60" spans="1:14" x14ac:dyDescent="0.25">
      <c r="A60">
        <v>59</v>
      </c>
      <c r="B60" t="str">
        <f>IF(playground!G73=0,"",playground!G73)</f>
        <v/>
      </c>
      <c r="C60" t="str">
        <f t="shared" si="0"/>
        <v/>
      </c>
      <c r="D60" t="str">
        <f t="shared" si="1"/>
        <v/>
      </c>
      <c r="E60" t="str">
        <f t="shared" si="2"/>
        <v/>
      </c>
      <c r="G60" s="14">
        <f>IFERROR(VLOOKUP(VLOOKUP(IFERROR(LEFT(playground!H73,SEARCH("|",playground!H73,1)-1),""),$C:$D,2,FALSE)&amp;RIGHT(playground!H73,4),expense!$A:$G,$F$2,FALSE),0)</f>
        <v>0</v>
      </c>
      <c r="H60" s="14">
        <f>IFERROR(VLOOKUP(VLOOKUP(IFERROR(LEFT(playground!I73,SEARCH("|",playground!I73,1)-1),""),$C:$D,2,FALSE)&amp;RIGHT(playground!I73,4),expense!$A:$G,$F$2,FALSE),0)</f>
        <v>0</v>
      </c>
      <c r="I60" s="14">
        <f>IFERROR(VLOOKUP(VLOOKUP(IFERROR(LEFT(playground!J73,SEARCH("|",playground!J73,1)-1),""),$C:$D,2,FALSE)&amp;RIGHT(playground!J73,4),expense!$A:$G,$F$2,FALSE),0)</f>
        <v>0</v>
      </c>
      <c r="J60" s="14">
        <f>IFERROR(VLOOKUP(VLOOKUP(IFERROR(LEFT(playground!K73,SEARCH("|",playground!K73,1)-1),""),$C:$D,2,FALSE)&amp;RIGHT(playground!K73,4),expense!$A:$G,$F$2,FALSE),0)</f>
        <v>0</v>
      </c>
      <c r="K60" s="14">
        <f>IFERROR(VLOOKUP(VLOOKUP(IFERROR(LEFT(playground!L73,SEARCH("|",playground!L73,1)-1),""),$C:$D,2,FALSE)&amp;RIGHT(playground!L73,4),expense!$A:$G,$F$2,FALSE),0)</f>
        <v>0</v>
      </c>
      <c r="L60" s="14">
        <f>IFERROR(VLOOKUP(VLOOKUP(IFERROR(LEFT(playground!M73,SEARCH("|",playground!M73,1)-1),""),$C:$D,2,FALSE)&amp;RIGHT(playground!M73,4),expense!$A:$G,$F$2,FALSE),0)</f>
        <v>0</v>
      </c>
      <c r="M60" s="14">
        <f>IFERROR(VLOOKUP(VLOOKUP(IFERROR(LEFT(playground!N73,SEARCH("|",playground!N73,1)-1),""),$C:$D,2,FALSE)&amp;RIGHT(playground!N73,4),expense!$A:$G,$F$2,FALSE),0)</f>
        <v>0</v>
      </c>
      <c r="N60" s="14">
        <f t="shared" si="3"/>
        <v>0</v>
      </c>
    </row>
    <row r="61" spans="1:14" x14ac:dyDescent="0.25">
      <c r="A61">
        <v>60</v>
      </c>
      <c r="B61" t="str">
        <f>IF(playground!G74=0,"",playground!G74)</f>
        <v/>
      </c>
      <c r="C61" t="str">
        <f t="shared" si="0"/>
        <v/>
      </c>
      <c r="D61" t="str">
        <f t="shared" si="1"/>
        <v/>
      </c>
      <c r="E61" t="str">
        <f t="shared" si="2"/>
        <v/>
      </c>
      <c r="G61" s="14">
        <f>IFERROR(VLOOKUP(VLOOKUP(IFERROR(LEFT(playground!H74,SEARCH("|",playground!H74,1)-1),""),$C:$D,2,FALSE)&amp;RIGHT(playground!H74,4),expense!$A:$G,$F$2,FALSE),0)</f>
        <v>8100</v>
      </c>
      <c r="H61" s="14">
        <f>IFERROR(VLOOKUP(VLOOKUP(IFERROR(LEFT(playground!I74,SEARCH("|",playground!I74,1)-1),""),$C:$D,2,FALSE)&amp;RIGHT(playground!I74,4),expense!$A:$G,$F$2,FALSE),0)</f>
        <v>0</v>
      </c>
      <c r="I61" s="14">
        <f>IFERROR(VLOOKUP(VLOOKUP(IFERROR(LEFT(playground!J74,SEARCH("|",playground!J74,1)-1),""),$C:$D,2,FALSE)&amp;RIGHT(playground!J74,4),expense!$A:$G,$F$2,FALSE),0)</f>
        <v>0</v>
      </c>
      <c r="J61" s="14">
        <f>IFERROR(VLOOKUP(VLOOKUP(IFERROR(LEFT(playground!K74,SEARCH("|",playground!K74,1)-1),""),$C:$D,2,FALSE)&amp;RIGHT(playground!K74,4),expense!$A:$G,$F$2,FALSE),0)</f>
        <v>0</v>
      </c>
      <c r="K61" s="14">
        <f>IFERROR(VLOOKUP(VLOOKUP(IFERROR(LEFT(playground!L74,SEARCH("|",playground!L74,1)-1),""),$C:$D,2,FALSE)&amp;RIGHT(playground!L74,4),expense!$A:$G,$F$2,FALSE),0)</f>
        <v>0</v>
      </c>
      <c r="L61" s="14">
        <f>IFERROR(VLOOKUP(VLOOKUP(IFERROR(LEFT(playground!M74,SEARCH("|",playground!M74,1)-1),""),$C:$D,2,FALSE)&amp;RIGHT(playground!M74,4),expense!$A:$G,$F$2,FALSE),0)</f>
        <v>0</v>
      </c>
      <c r="M61" s="14">
        <f>IFERROR(VLOOKUP(VLOOKUP(IFERROR(LEFT(playground!N74,SEARCH("|",playground!N74,1)-1),""),$C:$D,2,FALSE)&amp;RIGHT(playground!N74,4),expense!$A:$G,$F$2,FALSE),0)</f>
        <v>0</v>
      </c>
      <c r="N61" s="14">
        <f t="shared" si="3"/>
        <v>8100</v>
      </c>
    </row>
    <row r="62" spans="1:14" x14ac:dyDescent="0.25">
      <c r="A62">
        <v>61</v>
      </c>
      <c r="B62" t="str">
        <f>IF(playground!G75=0,"",playground!G75)</f>
        <v/>
      </c>
      <c r="C62" t="str">
        <f t="shared" si="0"/>
        <v/>
      </c>
      <c r="D62" t="str">
        <f t="shared" si="1"/>
        <v/>
      </c>
      <c r="E62" t="str">
        <f t="shared" si="2"/>
        <v/>
      </c>
      <c r="G62" s="14">
        <f>IFERROR(VLOOKUP(VLOOKUP(IFERROR(LEFT(playground!H75,SEARCH("|",playground!H75,1)-1),""),$C:$D,2,FALSE)&amp;RIGHT(playground!H75,4),expense!$A:$G,$F$2,FALSE),0)</f>
        <v>0</v>
      </c>
      <c r="H62" s="14">
        <f>IFERROR(VLOOKUP(VLOOKUP(IFERROR(LEFT(playground!I75,SEARCH("|",playground!I75,1)-1),""),$C:$D,2,FALSE)&amp;RIGHT(playground!I75,4),expense!$A:$G,$F$2,FALSE),0)</f>
        <v>0</v>
      </c>
      <c r="I62" s="14">
        <f>IFERROR(VLOOKUP(VLOOKUP(IFERROR(LEFT(playground!J75,SEARCH("|",playground!J75,1)-1),""),$C:$D,2,FALSE)&amp;RIGHT(playground!J75,4),expense!$A:$G,$F$2,FALSE),0)</f>
        <v>0</v>
      </c>
      <c r="J62" s="14">
        <f>IFERROR(VLOOKUP(VLOOKUP(IFERROR(LEFT(playground!K75,SEARCH("|",playground!K75,1)-1),""),$C:$D,2,FALSE)&amp;RIGHT(playground!K75,4),expense!$A:$G,$F$2,FALSE),0)</f>
        <v>0</v>
      </c>
      <c r="K62" s="14">
        <f>IFERROR(VLOOKUP(VLOOKUP(IFERROR(LEFT(playground!L75,SEARCH("|",playground!L75,1)-1),""),$C:$D,2,FALSE)&amp;RIGHT(playground!L75,4),expense!$A:$G,$F$2,FALSE),0)</f>
        <v>0</v>
      </c>
      <c r="L62" s="14">
        <f>IFERROR(VLOOKUP(VLOOKUP(IFERROR(LEFT(playground!M75,SEARCH("|",playground!M75,1)-1),""),$C:$D,2,FALSE)&amp;RIGHT(playground!M75,4),expense!$A:$G,$F$2,FALSE),0)</f>
        <v>0</v>
      </c>
      <c r="M62" s="14">
        <f>IFERROR(VLOOKUP(VLOOKUP(IFERROR(LEFT(playground!N75,SEARCH("|",playground!N75,1)-1),""),$C:$D,2,FALSE)&amp;RIGHT(playground!N75,4),expense!$A:$G,$F$2,FALSE),0)</f>
        <v>0</v>
      </c>
      <c r="N62" s="14">
        <f t="shared" si="3"/>
        <v>0</v>
      </c>
    </row>
    <row r="63" spans="1:14" x14ac:dyDescent="0.25">
      <c r="A63">
        <v>62</v>
      </c>
      <c r="B63" t="str">
        <f>IF(playground!G76=0,"",playground!G76)</f>
        <v/>
      </c>
      <c r="C63" t="str">
        <f t="shared" si="0"/>
        <v/>
      </c>
      <c r="D63" t="str">
        <f t="shared" si="1"/>
        <v/>
      </c>
      <c r="E63" t="str">
        <f t="shared" si="2"/>
        <v/>
      </c>
      <c r="G63" s="14">
        <f>IFERROR(VLOOKUP(VLOOKUP(IFERROR(LEFT(playground!H76,SEARCH("|",playground!H76,1)-1),""),$C:$D,2,FALSE)&amp;RIGHT(playground!H76,4),expense!$A:$G,$F$2,FALSE),0)</f>
        <v>0</v>
      </c>
      <c r="H63" s="14">
        <f>IFERROR(VLOOKUP(VLOOKUP(IFERROR(LEFT(playground!I76,SEARCH("|",playground!I76,1)-1),""),$C:$D,2,FALSE)&amp;RIGHT(playground!I76,4),expense!$A:$G,$F$2,FALSE),0)</f>
        <v>0</v>
      </c>
      <c r="I63" s="14">
        <f>IFERROR(VLOOKUP(VLOOKUP(IFERROR(LEFT(playground!J76,SEARCH("|",playground!J76,1)-1),""),$C:$D,2,FALSE)&amp;RIGHT(playground!J76,4),expense!$A:$G,$F$2,FALSE),0)</f>
        <v>0</v>
      </c>
      <c r="J63" s="14">
        <f>IFERROR(VLOOKUP(VLOOKUP(IFERROR(LEFT(playground!K76,SEARCH("|",playground!K76,1)-1),""),$C:$D,2,FALSE)&amp;RIGHT(playground!K76,4),expense!$A:$G,$F$2,FALSE),0)</f>
        <v>0</v>
      </c>
      <c r="K63" s="14">
        <f>IFERROR(VLOOKUP(VLOOKUP(IFERROR(LEFT(playground!L76,SEARCH("|",playground!L76,1)-1),""),$C:$D,2,FALSE)&amp;RIGHT(playground!L76,4),expense!$A:$G,$F$2,FALSE),0)</f>
        <v>0</v>
      </c>
      <c r="L63" s="14">
        <f>IFERROR(VLOOKUP(VLOOKUP(IFERROR(LEFT(playground!M76,SEARCH("|",playground!M76,1)-1),""),$C:$D,2,FALSE)&amp;RIGHT(playground!M76,4),expense!$A:$G,$F$2,FALSE),0)</f>
        <v>0</v>
      </c>
      <c r="M63" s="14">
        <f>IFERROR(VLOOKUP(VLOOKUP(IFERROR(LEFT(playground!N76,SEARCH("|",playground!N76,1)-1),""),$C:$D,2,FALSE)&amp;RIGHT(playground!N76,4),expense!$A:$G,$F$2,FALSE),0)</f>
        <v>0</v>
      </c>
      <c r="N63" s="14">
        <f t="shared" si="3"/>
        <v>0</v>
      </c>
    </row>
    <row r="64" spans="1:14" x14ac:dyDescent="0.25">
      <c r="A64">
        <v>63</v>
      </c>
      <c r="B64" t="str">
        <f>IF(playground!G77=0,"",playground!G77)</f>
        <v/>
      </c>
      <c r="C64" t="str">
        <f t="shared" si="0"/>
        <v/>
      </c>
      <c r="D64" t="str">
        <f t="shared" si="1"/>
        <v/>
      </c>
      <c r="E64" t="str">
        <f t="shared" si="2"/>
        <v/>
      </c>
      <c r="G64" s="14">
        <f>IFERROR(VLOOKUP(VLOOKUP(IFERROR(LEFT(playground!H77,SEARCH("|",playground!H77,1)-1),""),$C:$D,2,FALSE)&amp;RIGHT(playground!H77,4),expense!$A:$G,$F$2,FALSE),0)</f>
        <v>0</v>
      </c>
      <c r="H64" s="14">
        <f>IFERROR(VLOOKUP(VLOOKUP(IFERROR(LEFT(playground!I77,SEARCH("|",playground!I77,1)-1),""),$C:$D,2,FALSE)&amp;RIGHT(playground!I77,4),expense!$A:$G,$F$2,FALSE),0)</f>
        <v>0</v>
      </c>
      <c r="I64" s="14">
        <f>IFERROR(VLOOKUP(VLOOKUP(IFERROR(LEFT(playground!J77,SEARCH("|",playground!J77,1)-1),""),$C:$D,2,FALSE)&amp;RIGHT(playground!J77,4),expense!$A:$G,$F$2,FALSE),0)</f>
        <v>0</v>
      </c>
      <c r="J64" s="14">
        <f>IFERROR(VLOOKUP(VLOOKUP(IFERROR(LEFT(playground!K77,SEARCH("|",playground!K77,1)-1),""),$C:$D,2,FALSE)&amp;RIGHT(playground!K77,4),expense!$A:$G,$F$2,FALSE),0)</f>
        <v>0</v>
      </c>
      <c r="K64" s="14">
        <f>IFERROR(VLOOKUP(VLOOKUP(IFERROR(LEFT(playground!L77,SEARCH("|",playground!L77,1)-1),""),$C:$D,2,FALSE)&amp;RIGHT(playground!L77,4),expense!$A:$G,$F$2,FALSE),0)</f>
        <v>0</v>
      </c>
      <c r="L64" s="14">
        <f>IFERROR(VLOOKUP(VLOOKUP(IFERROR(LEFT(playground!M77,SEARCH("|",playground!M77,1)-1),""),$C:$D,2,FALSE)&amp;RIGHT(playground!M77,4),expense!$A:$G,$F$2,FALSE),0)</f>
        <v>0</v>
      </c>
      <c r="M64" s="14">
        <f>IFERROR(VLOOKUP(VLOOKUP(IFERROR(LEFT(playground!N77,SEARCH("|",playground!N77,1)-1),""),$C:$D,2,FALSE)&amp;RIGHT(playground!N77,4),expense!$A:$G,$F$2,FALSE),0)</f>
        <v>0</v>
      </c>
      <c r="N64" s="14">
        <f t="shared" si="3"/>
        <v>0</v>
      </c>
    </row>
    <row r="65" spans="1:14" x14ac:dyDescent="0.25">
      <c r="A65">
        <v>64</v>
      </c>
      <c r="B65" t="str">
        <f>IF(playground!G78=0,"",playground!G78)</f>
        <v/>
      </c>
      <c r="C65" t="str">
        <f t="shared" si="0"/>
        <v/>
      </c>
      <c r="D65" t="str">
        <f t="shared" si="1"/>
        <v/>
      </c>
      <c r="E65" t="str">
        <f t="shared" si="2"/>
        <v/>
      </c>
      <c r="G65" s="14">
        <f>IFERROR(VLOOKUP(VLOOKUP(IFERROR(LEFT(playground!H78,SEARCH("|",playground!H78,1)-1),""),$C:$D,2,FALSE)&amp;RIGHT(playground!H78,4),expense!$A:$G,$F$2,FALSE),0)</f>
        <v>0</v>
      </c>
      <c r="H65" s="14">
        <f>IFERROR(VLOOKUP(VLOOKUP(IFERROR(LEFT(playground!I78,SEARCH("|",playground!I78,1)-1),""),$C:$D,2,FALSE)&amp;RIGHT(playground!I78,4),expense!$A:$G,$F$2,FALSE),0)</f>
        <v>0</v>
      </c>
      <c r="I65" s="14">
        <f>IFERROR(VLOOKUP(VLOOKUP(IFERROR(LEFT(playground!J78,SEARCH("|",playground!J78,1)-1),""),$C:$D,2,FALSE)&amp;RIGHT(playground!J78,4),expense!$A:$G,$F$2,FALSE),0)</f>
        <v>0</v>
      </c>
      <c r="J65" s="14">
        <f>IFERROR(VLOOKUP(VLOOKUP(IFERROR(LEFT(playground!K78,SEARCH("|",playground!K78,1)-1),""),$C:$D,2,FALSE)&amp;RIGHT(playground!K78,4),expense!$A:$G,$F$2,FALSE),0)</f>
        <v>0</v>
      </c>
      <c r="K65" s="14">
        <f>IFERROR(VLOOKUP(VLOOKUP(IFERROR(LEFT(playground!L78,SEARCH("|",playground!L78,1)-1),""),$C:$D,2,FALSE)&amp;RIGHT(playground!L78,4),expense!$A:$G,$F$2,FALSE),0)</f>
        <v>0</v>
      </c>
      <c r="L65" s="14">
        <f>IFERROR(VLOOKUP(VLOOKUP(IFERROR(LEFT(playground!M78,SEARCH("|",playground!M78,1)-1),""),$C:$D,2,FALSE)&amp;RIGHT(playground!M78,4),expense!$A:$G,$F$2,FALSE),0)</f>
        <v>0</v>
      </c>
      <c r="M65" s="14">
        <f>IFERROR(VLOOKUP(VLOOKUP(IFERROR(LEFT(playground!N78,SEARCH("|",playground!N78,1)-1),""),$C:$D,2,FALSE)&amp;RIGHT(playground!N78,4),expense!$A:$G,$F$2,FALSE),0)</f>
        <v>0</v>
      </c>
      <c r="N65" s="14">
        <f t="shared" si="3"/>
        <v>0</v>
      </c>
    </row>
    <row r="66" spans="1:14" x14ac:dyDescent="0.25">
      <c r="A66">
        <v>65</v>
      </c>
      <c r="B66" t="str">
        <f>IF(playground!G79=0,"",playground!G79)</f>
        <v/>
      </c>
      <c r="C66" t="str">
        <f t="shared" si="0"/>
        <v/>
      </c>
      <c r="D66" t="str">
        <f t="shared" si="1"/>
        <v/>
      </c>
      <c r="E66" t="str">
        <f t="shared" si="2"/>
        <v/>
      </c>
      <c r="G66" s="14">
        <f>IFERROR(VLOOKUP(VLOOKUP(IFERROR(LEFT(playground!H79,SEARCH("|",playground!H79,1)-1),""),$C:$D,2,FALSE)&amp;RIGHT(playground!H79,4),expense!$A:$G,$F$2,FALSE),0)</f>
        <v>0</v>
      </c>
      <c r="H66" s="14">
        <f>IFERROR(VLOOKUP(VLOOKUP(IFERROR(LEFT(playground!I79,SEARCH("|",playground!I79,1)-1),""),$C:$D,2,FALSE)&amp;RIGHT(playground!I79,4),expense!$A:$G,$F$2,FALSE),0)</f>
        <v>0</v>
      </c>
      <c r="I66" s="14">
        <f>IFERROR(VLOOKUP(VLOOKUP(IFERROR(LEFT(playground!J79,SEARCH("|",playground!J79,1)-1),""),$C:$D,2,FALSE)&amp;RIGHT(playground!J79,4),expense!$A:$G,$F$2,FALSE),0)</f>
        <v>0</v>
      </c>
      <c r="J66" s="14">
        <f>IFERROR(VLOOKUP(VLOOKUP(IFERROR(LEFT(playground!K79,SEARCH("|",playground!K79,1)-1),""),$C:$D,2,FALSE)&amp;RIGHT(playground!K79,4),expense!$A:$G,$F$2,FALSE),0)</f>
        <v>0</v>
      </c>
      <c r="K66" s="14">
        <f>IFERROR(VLOOKUP(VLOOKUP(IFERROR(LEFT(playground!L79,SEARCH("|",playground!L79,1)-1),""),$C:$D,2,FALSE)&amp;RIGHT(playground!L79,4),expense!$A:$G,$F$2,FALSE),0)</f>
        <v>0</v>
      </c>
      <c r="L66" s="14">
        <f>IFERROR(VLOOKUP(VLOOKUP(IFERROR(LEFT(playground!M79,SEARCH("|",playground!M79,1)-1),""),$C:$D,2,FALSE)&amp;RIGHT(playground!M79,4),expense!$A:$G,$F$2,FALSE),0)</f>
        <v>0</v>
      </c>
      <c r="M66" s="14">
        <f>IFERROR(VLOOKUP(VLOOKUP(IFERROR(LEFT(playground!N79,SEARCH("|",playground!N79,1)-1),""),$C:$D,2,FALSE)&amp;RIGHT(playground!N79,4),expense!$A:$G,$F$2,FALSE),0)</f>
        <v>0</v>
      </c>
      <c r="N66" s="14">
        <f t="shared" si="3"/>
        <v>0</v>
      </c>
    </row>
    <row r="67" spans="1:14" x14ac:dyDescent="0.25">
      <c r="A67">
        <v>66</v>
      </c>
      <c r="B67" t="str">
        <f>IF(playground!G80=0,"",playground!G80)</f>
        <v/>
      </c>
      <c r="C67" t="str">
        <f t="shared" ref="C67:C130" si="4">IFERROR(LEFT(B67,SEARCH("|",B67,1)-1),"")</f>
        <v/>
      </c>
      <c r="D67" t="str">
        <f t="shared" ref="D67:D130" si="5">IFERROR(MID(B67, SEARCH("|",B67) + 1, SEARCH("|",B67,SEARCH("|",B67)+1) - SEARCH("|",B67) - 1),"")</f>
        <v/>
      </c>
      <c r="E67" t="str">
        <f t="shared" ref="E67:E130" si="6">IFERROR(RIGHT(B67,LEN(B67) - SEARCH("|", B67, SEARCH("|", B67) + 1)),"")</f>
        <v/>
      </c>
      <c r="G67" s="14">
        <f>IFERROR(VLOOKUP(VLOOKUP(IFERROR(LEFT(playground!H80,SEARCH("|",playground!H80,1)-1),""),$C:$D,2,FALSE)&amp;RIGHT(playground!H80,4),expense!$A:$G,$F$2,FALSE),0)</f>
        <v>0</v>
      </c>
      <c r="H67" s="14">
        <f>IFERROR(VLOOKUP(VLOOKUP(IFERROR(LEFT(playground!I80,SEARCH("|",playground!I80,1)-1),""),$C:$D,2,FALSE)&amp;RIGHT(playground!I80,4),expense!$A:$G,$F$2,FALSE),0)</f>
        <v>0</v>
      </c>
      <c r="I67" s="14">
        <f>IFERROR(VLOOKUP(VLOOKUP(IFERROR(LEFT(playground!J80,SEARCH("|",playground!J80,1)-1),""),$C:$D,2,FALSE)&amp;RIGHT(playground!J80,4),expense!$A:$G,$F$2,FALSE),0)</f>
        <v>0</v>
      </c>
      <c r="J67" s="14">
        <f>IFERROR(VLOOKUP(VLOOKUP(IFERROR(LEFT(playground!K80,SEARCH("|",playground!K80,1)-1),""),$C:$D,2,FALSE)&amp;RIGHT(playground!K80,4),expense!$A:$G,$F$2,FALSE),0)</f>
        <v>0</v>
      </c>
      <c r="K67" s="14">
        <f>IFERROR(VLOOKUP(VLOOKUP(IFERROR(LEFT(playground!L80,SEARCH("|",playground!L80,1)-1),""),$C:$D,2,FALSE)&amp;RIGHT(playground!L80,4),expense!$A:$G,$F$2,FALSE),0)</f>
        <v>0</v>
      </c>
      <c r="L67" s="14">
        <f>IFERROR(VLOOKUP(VLOOKUP(IFERROR(LEFT(playground!M80,SEARCH("|",playground!M80,1)-1),""),$C:$D,2,FALSE)&amp;RIGHT(playground!M80,4),expense!$A:$G,$F$2,FALSE),0)</f>
        <v>0</v>
      </c>
      <c r="M67" s="14">
        <f>IFERROR(VLOOKUP(VLOOKUP(IFERROR(LEFT(playground!N80,SEARCH("|",playground!N80,1)-1),""),$C:$D,2,FALSE)&amp;RIGHT(playground!N80,4),expense!$A:$G,$F$2,FALSE),0)</f>
        <v>0</v>
      </c>
      <c r="N67" s="14">
        <f t="shared" ref="N67:N130" si="7">SUM(G67:M67)</f>
        <v>0</v>
      </c>
    </row>
    <row r="68" spans="1:14" x14ac:dyDescent="0.25">
      <c r="A68">
        <v>67</v>
      </c>
      <c r="B68" t="str">
        <f>IF(playground!G81=0,"",playground!G81)</f>
        <v/>
      </c>
      <c r="C68" t="str">
        <f t="shared" si="4"/>
        <v/>
      </c>
      <c r="D68" t="str">
        <f t="shared" si="5"/>
        <v/>
      </c>
      <c r="E68" t="str">
        <f t="shared" si="6"/>
        <v/>
      </c>
      <c r="G68" s="14">
        <f>IFERROR(VLOOKUP(VLOOKUP(IFERROR(LEFT(playground!H81,SEARCH("|",playground!H81,1)-1),""),$C:$D,2,FALSE)&amp;RIGHT(playground!H81,4),expense!$A:$G,$F$2,FALSE),0)</f>
        <v>0</v>
      </c>
      <c r="H68" s="14">
        <f>IFERROR(VLOOKUP(VLOOKUP(IFERROR(LEFT(playground!I81,SEARCH("|",playground!I81,1)-1),""),$C:$D,2,FALSE)&amp;RIGHT(playground!I81,4),expense!$A:$G,$F$2,FALSE),0)</f>
        <v>0</v>
      </c>
      <c r="I68" s="14">
        <f>IFERROR(VLOOKUP(VLOOKUP(IFERROR(LEFT(playground!J81,SEARCH("|",playground!J81,1)-1),""),$C:$D,2,FALSE)&amp;RIGHT(playground!J81,4),expense!$A:$G,$F$2,FALSE),0)</f>
        <v>0</v>
      </c>
      <c r="J68" s="14">
        <f>IFERROR(VLOOKUP(VLOOKUP(IFERROR(LEFT(playground!K81,SEARCH("|",playground!K81,1)-1),""),$C:$D,2,FALSE)&amp;RIGHT(playground!K81,4),expense!$A:$G,$F$2,FALSE),0)</f>
        <v>0</v>
      </c>
      <c r="K68" s="14">
        <f>IFERROR(VLOOKUP(VLOOKUP(IFERROR(LEFT(playground!L81,SEARCH("|",playground!L81,1)-1),""),$C:$D,2,FALSE)&amp;RIGHT(playground!L81,4),expense!$A:$G,$F$2,FALSE),0)</f>
        <v>0</v>
      </c>
      <c r="L68" s="14">
        <f>IFERROR(VLOOKUP(VLOOKUP(IFERROR(LEFT(playground!M81,SEARCH("|",playground!M81,1)-1),""),$C:$D,2,FALSE)&amp;RIGHT(playground!M81,4),expense!$A:$G,$F$2,FALSE),0)</f>
        <v>0</v>
      </c>
      <c r="M68" s="14">
        <f>IFERROR(VLOOKUP(VLOOKUP(IFERROR(LEFT(playground!N81,SEARCH("|",playground!N81,1)-1),""),$C:$D,2,FALSE)&amp;RIGHT(playground!N81,4),expense!$A:$G,$F$2,FALSE),0)</f>
        <v>0</v>
      </c>
      <c r="N68" s="14">
        <f t="shared" si="7"/>
        <v>0</v>
      </c>
    </row>
    <row r="69" spans="1:14" x14ac:dyDescent="0.25">
      <c r="A69">
        <v>68</v>
      </c>
      <c r="B69" t="str">
        <f>IF(playground!G82=0,"",playground!G82)</f>
        <v/>
      </c>
      <c r="C69" t="str">
        <f t="shared" si="4"/>
        <v/>
      </c>
      <c r="D69" t="str">
        <f t="shared" si="5"/>
        <v/>
      </c>
      <c r="E69" t="str">
        <f t="shared" si="6"/>
        <v/>
      </c>
      <c r="G69" s="14">
        <f>IFERROR(VLOOKUP(VLOOKUP(IFERROR(LEFT(playground!H82,SEARCH("|",playground!H82,1)-1),""),$C:$D,2,FALSE)&amp;RIGHT(playground!H82,4),expense!$A:$G,$F$2,FALSE),0)</f>
        <v>0</v>
      </c>
      <c r="H69" s="14">
        <f>IFERROR(VLOOKUP(VLOOKUP(IFERROR(LEFT(playground!I82,SEARCH("|",playground!I82,1)-1),""),$C:$D,2,FALSE)&amp;RIGHT(playground!I82,4),expense!$A:$G,$F$2,FALSE),0)</f>
        <v>0</v>
      </c>
      <c r="I69" s="14">
        <f>IFERROR(VLOOKUP(VLOOKUP(IFERROR(LEFT(playground!J82,SEARCH("|",playground!J82,1)-1),""),$C:$D,2,FALSE)&amp;RIGHT(playground!J82,4),expense!$A:$G,$F$2,FALSE),0)</f>
        <v>0</v>
      </c>
      <c r="J69" s="14">
        <f>IFERROR(VLOOKUP(VLOOKUP(IFERROR(LEFT(playground!K82,SEARCH("|",playground!K82,1)-1),""),$C:$D,2,FALSE)&amp;RIGHT(playground!K82,4),expense!$A:$G,$F$2,FALSE),0)</f>
        <v>0</v>
      </c>
      <c r="K69" s="14">
        <f>IFERROR(VLOOKUP(VLOOKUP(IFERROR(LEFT(playground!L82,SEARCH("|",playground!L82,1)-1),""),$C:$D,2,FALSE)&amp;RIGHT(playground!L82,4),expense!$A:$G,$F$2,FALSE),0)</f>
        <v>0</v>
      </c>
      <c r="L69" s="14">
        <f>IFERROR(VLOOKUP(VLOOKUP(IFERROR(LEFT(playground!M82,SEARCH("|",playground!M82,1)-1),""),$C:$D,2,FALSE)&amp;RIGHT(playground!M82,4),expense!$A:$G,$F$2,FALSE),0)</f>
        <v>0</v>
      </c>
      <c r="M69" s="14">
        <f>IFERROR(VLOOKUP(VLOOKUP(IFERROR(LEFT(playground!N82,SEARCH("|",playground!N82,1)-1),""),$C:$D,2,FALSE)&amp;RIGHT(playground!N82,4),expense!$A:$G,$F$2,FALSE),0)</f>
        <v>0</v>
      </c>
      <c r="N69" s="14">
        <f t="shared" si="7"/>
        <v>0</v>
      </c>
    </row>
    <row r="70" spans="1:14" x14ac:dyDescent="0.25">
      <c r="A70">
        <v>69</v>
      </c>
      <c r="B70" t="str">
        <f>IF(playground!G83=0,"",playground!G83)</f>
        <v/>
      </c>
      <c r="C70" t="str">
        <f t="shared" si="4"/>
        <v/>
      </c>
      <c r="D70" t="str">
        <f t="shared" si="5"/>
        <v/>
      </c>
      <c r="E70" t="str">
        <f t="shared" si="6"/>
        <v/>
      </c>
      <c r="G70" s="14">
        <f>IFERROR(VLOOKUP(VLOOKUP(IFERROR(LEFT(playground!H83,SEARCH("|",playground!H83,1)-1),""),$C:$D,2,FALSE)&amp;RIGHT(playground!H83,4),expense!$A:$G,$F$2,FALSE),0)</f>
        <v>0</v>
      </c>
      <c r="H70" s="14">
        <f>IFERROR(VLOOKUP(VLOOKUP(IFERROR(LEFT(playground!I83,SEARCH("|",playground!I83,1)-1),""),$C:$D,2,FALSE)&amp;RIGHT(playground!I83,4),expense!$A:$G,$F$2,FALSE),0)</f>
        <v>0</v>
      </c>
      <c r="I70" s="14">
        <f>IFERROR(VLOOKUP(VLOOKUP(IFERROR(LEFT(playground!J83,SEARCH("|",playground!J83,1)-1),""),$C:$D,2,FALSE)&amp;RIGHT(playground!J83,4),expense!$A:$G,$F$2,FALSE),0)</f>
        <v>0</v>
      </c>
      <c r="J70" s="14">
        <f>IFERROR(VLOOKUP(VLOOKUP(IFERROR(LEFT(playground!K83,SEARCH("|",playground!K83,1)-1),""),$C:$D,2,FALSE)&amp;RIGHT(playground!K83,4),expense!$A:$G,$F$2,FALSE),0)</f>
        <v>0</v>
      </c>
      <c r="K70" s="14">
        <f>IFERROR(VLOOKUP(VLOOKUP(IFERROR(LEFT(playground!L83,SEARCH("|",playground!L83,1)-1),""),$C:$D,2,FALSE)&amp;RIGHT(playground!L83,4),expense!$A:$G,$F$2,FALSE),0)</f>
        <v>0</v>
      </c>
      <c r="L70" s="14">
        <f>IFERROR(VLOOKUP(VLOOKUP(IFERROR(LEFT(playground!M83,SEARCH("|",playground!M83,1)-1),""),$C:$D,2,FALSE)&amp;RIGHT(playground!M83,4),expense!$A:$G,$F$2,FALSE),0)</f>
        <v>0</v>
      </c>
      <c r="M70" s="14">
        <f>IFERROR(VLOOKUP(VLOOKUP(IFERROR(LEFT(playground!N83,SEARCH("|",playground!N83,1)-1),""),$C:$D,2,FALSE)&amp;RIGHT(playground!N83,4),expense!$A:$G,$F$2,FALSE),0)</f>
        <v>0</v>
      </c>
      <c r="N70" s="14">
        <f t="shared" si="7"/>
        <v>0</v>
      </c>
    </row>
    <row r="71" spans="1:14" x14ac:dyDescent="0.25">
      <c r="A71">
        <v>70</v>
      </c>
      <c r="B71" t="str">
        <f>IF(playground!G84=0,"",playground!G84)</f>
        <v/>
      </c>
      <c r="C71" t="str">
        <f t="shared" si="4"/>
        <v/>
      </c>
      <c r="D71" t="str">
        <f t="shared" si="5"/>
        <v/>
      </c>
      <c r="E71" t="str">
        <f t="shared" si="6"/>
        <v/>
      </c>
      <c r="G71" s="14">
        <f>IFERROR(VLOOKUP(VLOOKUP(IFERROR(LEFT(playground!H84,SEARCH("|",playground!H84,1)-1),""),$C:$D,2,FALSE)&amp;RIGHT(playground!H84,4),expense!$A:$G,$F$2,FALSE),0)</f>
        <v>0</v>
      </c>
      <c r="H71" s="14">
        <f>IFERROR(VLOOKUP(VLOOKUP(IFERROR(LEFT(playground!I84,SEARCH("|",playground!I84,1)-1),""),$C:$D,2,FALSE)&amp;RIGHT(playground!I84,4),expense!$A:$G,$F$2,FALSE),0)</f>
        <v>0</v>
      </c>
      <c r="I71" s="14">
        <f>IFERROR(VLOOKUP(VLOOKUP(IFERROR(LEFT(playground!J84,SEARCH("|",playground!J84,1)-1),""),$C:$D,2,FALSE)&amp;RIGHT(playground!J84,4),expense!$A:$G,$F$2,FALSE),0)</f>
        <v>0</v>
      </c>
      <c r="J71" s="14">
        <f>IFERROR(VLOOKUP(VLOOKUP(IFERROR(LEFT(playground!K84,SEARCH("|",playground!K84,1)-1),""),$C:$D,2,FALSE)&amp;RIGHT(playground!K84,4),expense!$A:$G,$F$2,FALSE),0)</f>
        <v>0</v>
      </c>
      <c r="K71" s="14">
        <f>IFERROR(VLOOKUP(VLOOKUP(IFERROR(LEFT(playground!L84,SEARCH("|",playground!L84,1)-1),""),$C:$D,2,FALSE)&amp;RIGHT(playground!L84,4),expense!$A:$G,$F$2,FALSE),0)</f>
        <v>0</v>
      </c>
      <c r="L71" s="14">
        <f>IFERROR(VLOOKUP(VLOOKUP(IFERROR(LEFT(playground!M84,SEARCH("|",playground!M84,1)-1),""),$C:$D,2,FALSE)&amp;RIGHT(playground!M84,4),expense!$A:$G,$F$2,FALSE),0)</f>
        <v>0</v>
      </c>
      <c r="M71" s="14">
        <f>IFERROR(VLOOKUP(VLOOKUP(IFERROR(LEFT(playground!N84,SEARCH("|",playground!N84,1)-1),""),$C:$D,2,FALSE)&amp;RIGHT(playground!N84,4),expense!$A:$G,$F$2,FALSE),0)</f>
        <v>0</v>
      </c>
      <c r="N71" s="14">
        <f t="shared" si="7"/>
        <v>0</v>
      </c>
    </row>
    <row r="72" spans="1:14" x14ac:dyDescent="0.25">
      <c r="A72">
        <v>71</v>
      </c>
      <c r="B72" t="str">
        <f>IF(playground!G85=0,"",playground!G85)</f>
        <v/>
      </c>
      <c r="C72" t="str">
        <f t="shared" si="4"/>
        <v/>
      </c>
      <c r="D72" t="str">
        <f t="shared" si="5"/>
        <v/>
      </c>
      <c r="E72" t="str">
        <f t="shared" si="6"/>
        <v/>
      </c>
      <c r="G72" s="14">
        <f>IFERROR(VLOOKUP(VLOOKUP(IFERROR(LEFT(playground!H85,SEARCH("|",playground!H85,1)-1),""),$C:$D,2,FALSE)&amp;RIGHT(playground!H85,4),expense!$A:$G,$F$2,FALSE),0)</f>
        <v>0</v>
      </c>
      <c r="H72" s="14">
        <f>IFERROR(VLOOKUP(VLOOKUP(IFERROR(LEFT(playground!I85,SEARCH("|",playground!I85,1)-1),""),$C:$D,2,FALSE)&amp;RIGHT(playground!I85,4),expense!$A:$G,$F$2,FALSE),0)</f>
        <v>0</v>
      </c>
      <c r="I72" s="14">
        <f>IFERROR(VLOOKUP(VLOOKUP(IFERROR(LEFT(playground!J85,SEARCH("|",playground!J85,1)-1),""),$C:$D,2,FALSE)&amp;RIGHT(playground!J85,4),expense!$A:$G,$F$2,FALSE),0)</f>
        <v>0</v>
      </c>
      <c r="J72" s="14">
        <f>IFERROR(VLOOKUP(VLOOKUP(IFERROR(LEFT(playground!K85,SEARCH("|",playground!K85,1)-1),""),$C:$D,2,FALSE)&amp;RIGHT(playground!K85,4),expense!$A:$G,$F$2,FALSE),0)</f>
        <v>0</v>
      </c>
      <c r="K72" s="14">
        <f>IFERROR(VLOOKUP(VLOOKUP(IFERROR(LEFT(playground!L85,SEARCH("|",playground!L85,1)-1),""),$C:$D,2,FALSE)&amp;RIGHT(playground!L85,4),expense!$A:$G,$F$2,FALSE),0)</f>
        <v>0</v>
      </c>
      <c r="L72" s="14">
        <f>IFERROR(VLOOKUP(VLOOKUP(IFERROR(LEFT(playground!M85,SEARCH("|",playground!M85,1)-1),""),$C:$D,2,FALSE)&amp;RIGHT(playground!M85,4),expense!$A:$G,$F$2,FALSE),0)</f>
        <v>0</v>
      </c>
      <c r="M72" s="14">
        <f>IFERROR(VLOOKUP(VLOOKUP(IFERROR(LEFT(playground!N85,SEARCH("|",playground!N85,1)-1),""),$C:$D,2,FALSE)&amp;RIGHT(playground!N85,4),expense!$A:$G,$F$2,FALSE),0)</f>
        <v>0</v>
      </c>
      <c r="N72" s="14">
        <f t="shared" si="7"/>
        <v>0</v>
      </c>
    </row>
    <row r="73" spans="1:14" x14ac:dyDescent="0.25">
      <c r="A73">
        <v>72</v>
      </c>
      <c r="B73" t="str">
        <f>IF(playground!G86=0,"",playground!G86)</f>
        <v/>
      </c>
      <c r="C73" t="str">
        <f t="shared" si="4"/>
        <v/>
      </c>
      <c r="D73" t="str">
        <f t="shared" si="5"/>
        <v/>
      </c>
      <c r="E73" t="str">
        <f t="shared" si="6"/>
        <v/>
      </c>
      <c r="G73" s="14">
        <f>IFERROR(VLOOKUP(VLOOKUP(IFERROR(LEFT(playground!H86,SEARCH("|",playground!H86,1)-1),""),$C:$D,2,FALSE)&amp;RIGHT(playground!H86,4),expense!$A:$G,$F$2,FALSE),0)</f>
        <v>0</v>
      </c>
      <c r="H73" s="14">
        <f>IFERROR(VLOOKUP(VLOOKUP(IFERROR(LEFT(playground!I86,SEARCH("|",playground!I86,1)-1),""),$C:$D,2,FALSE)&amp;RIGHT(playground!I86,4),expense!$A:$G,$F$2,FALSE),0)</f>
        <v>0</v>
      </c>
      <c r="I73" s="14">
        <f>IFERROR(VLOOKUP(VLOOKUP(IFERROR(LEFT(playground!J86,SEARCH("|",playground!J86,1)-1),""),$C:$D,2,FALSE)&amp;RIGHT(playground!J86,4),expense!$A:$G,$F$2,FALSE),0)</f>
        <v>0</v>
      </c>
      <c r="J73" s="14">
        <f>IFERROR(VLOOKUP(VLOOKUP(IFERROR(LEFT(playground!K86,SEARCH("|",playground!K86,1)-1),""),$C:$D,2,FALSE)&amp;RIGHT(playground!K86,4),expense!$A:$G,$F$2,FALSE),0)</f>
        <v>0</v>
      </c>
      <c r="K73" s="14">
        <f>IFERROR(VLOOKUP(VLOOKUP(IFERROR(LEFT(playground!L86,SEARCH("|",playground!L86,1)-1),""),$C:$D,2,FALSE)&amp;RIGHT(playground!L86,4),expense!$A:$G,$F$2,FALSE),0)</f>
        <v>0</v>
      </c>
      <c r="L73" s="14">
        <f>IFERROR(VLOOKUP(VLOOKUP(IFERROR(LEFT(playground!M86,SEARCH("|",playground!M86,1)-1),""),$C:$D,2,FALSE)&amp;RIGHT(playground!M86,4),expense!$A:$G,$F$2,FALSE),0)</f>
        <v>0</v>
      </c>
      <c r="M73" s="14">
        <f>IFERROR(VLOOKUP(VLOOKUP(IFERROR(LEFT(playground!N86,SEARCH("|",playground!N86,1)-1),""),$C:$D,2,FALSE)&amp;RIGHT(playground!N86,4),expense!$A:$G,$F$2,FALSE),0)</f>
        <v>0</v>
      </c>
      <c r="N73" s="14">
        <f t="shared" si="7"/>
        <v>0</v>
      </c>
    </row>
    <row r="74" spans="1:14" x14ac:dyDescent="0.25">
      <c r="A74">
        <v>73</v>
      </c>
      <c r="B74" t="str">
        <f>IF(playground!G87=0,"",playground!G87)</f>
        <v/>
      </c>
      <c r="C74" t="str">
        <f t="shared" si="4"/>
        <v/>
      </c>
      <c r="D74" t="str">
        <f t="shared" si="5"/>
        <v/>
      </c>
      <c r="E74" t="str">
        <f t="shared" si="6"/>
        <v/>
      </c>
      <c r="G74" s="14">
        <f>IFERROR(VLOOKUP(VLOOKUP(IFERROR(LEFT(playground!H87,SEARCH("|",playground!H87,1)-1),""),$C:$D,2,FALSE)&amp;RIGHT(playground!H87,4),expense!$A:$G,$F$2,FALSE),0)</f>
        <v>0</v>
      </c>
      <c r="H74" s="14">
        <f>IFERROR(VLOOKUP(VLOOKUP(IFERROR(LEFT(playground!I87,SEARCH("|",playground!I87,1)-1),""),$C:$D,2,FALSE)&amp;RIGHT(playground!I87,4),expense!$A:$G,$F$2,FALSE),0)</f>
        <v>0</v>
      </c>
      <c r="I74" s="14">
        <f>IFERROR(VLOOKUP(VLOOKUP(IFERROR(LEFT(playground!J87,SEARCH("|",playground!J87,1)-1),""),$C:$D,2,FALSE)&amp;RIGHT(playground!J87,4),expense!$A:$G,$F$2,FALSE),0)</f>
        <v>0</v>
      </c>
      <c r="J74" s="14">
        <f>IFERROR(VLOOKUP(VLOOKUP(IFERROR(LEFT(playground!K87,SEARCH("|",playground!K87,1)-1),""),$C:$D,2,FALSE)&amp;RIGHT(playground!K87,4),expense!$A:$G,$F$2,FALSE),0)</f>
        <v>0</v>
      </c>
      <c r="K74" s="14">
        <f>IFERROR(VLOOKUP(VLOOKUP(IFERROR(LEFT(playground!L87,SEARCH("|",playground!L87,1)-1),""),$C:$D,2,FALSE)&amp;RIGHT(playground!L87,4),expense!$A:$G,$F$2,FALSE),0)</f>
        <v>0</v>
      </c>
      <c r="L74" s="14">
        <f>IFERROR(VLOOKUP(VLOOKUP(IFERROR(LEFT(playground!M87,SEARCH("|",playground!M87,1)-1),""),$C:$D,2,FALSE)&amp;RIGHT(playground!M87,4),expense!$A:$G,$F$2,FALSE),0)</f>
        <v>0</v>
      </c>
      <c r="M74" s="14">
        <f>IFERROR(VLOOKUP(VLOOKUP(IFERROR(LEFT(playground!N87,SEARCH("|",playground!N87,1)-1),""),$C:$D,2,FALSE)&amp;RIGHT(playground!N87,4),expense!$A:$G,$F$2,FALSE),0)</f>
        <v>0</v>
      </c>
      <c r="N74" s="14">
        <f t="shared" si="7"/>
        <v>0</v>
      </c>
    </row>
    <row r="75" spans="1:14" x14ac:dyDescent="0.25">
      <c r="A75">
        <v>74</v>
      </c>
      <c r="B75" t="str">
        <f>IF(playground!G88=0,"",playground!G88)</f>
        <v/>
      </c>
      <c r="C75" t="str">
        <f t="shared" si="4"/>
        <v/>
      </c>
      <c r="D75" t="str">
        <f t="shared" si="5"/>
        <v/>
      </c>
      <c r="E75" t="str">
        <f t="shared" si="6"/>
        <v/>
      </c>
      <c r="G75" s="14">
        <f>IFERROR(VLOOKUP(VLOOKUP(IFERROR(LEFT(playground!H88,SEARCH("|",playground!H88,1)-1),""),$C:$D,2,FALSE)&amp;RIGHT(playground!H88,4),expense!$A:$G,$F$2,FALSE),0)</f>
        <v>0</v>
      </c>
      <c r="H75" s="14">
        <f>IFERROR(VLOOKUP(VLOOKUP(IFERROR(LEFT(playground!I88,SEARCH("|",playground!I88,1)-1),""),$C:$D,2,FALSE)&amp;RIGHT(playground!I88,4),expense!$A:$G,$F$2,FALSE),0)</f>
        <v>0</v>
      </c>
      <c r="I75" s="14">
        <f>IFERROR(VLOOKUP(VLOOKUP(IFERROR(LEFT(playground!J88,SEARCH("|",playground!J88,1)-1),""),$C:$D,2,FALSE)&amp;RIGHT(playground!J88,4),expense!$A:$G,$F$2,FALSE),0)</f>
        <v>0</v>
      </c>
      <c r="J75" s="14">
        <f>IFERROR(VLOOKUP(VLOOKUP(IFERROR(LEFT(playground!K88,SEARCH("|",playground!K88,1)-1),""),$C:$D,2,FALSE)&amp;RIGHT(playground!K88,4),expense!$A:$G,$F$2,FALSE),0)</f>
        <v>0</v>
      </c>
      <c r="K75" s="14">
        <f>IFERROR(VLOOKUP(VLOOKUP(IFERROR(LEFT(playground!L88,SEARCH("|",playground!L88,1)-1),""),$C:$D,2,FALSE)&amp;RIGHT(playground!L88,4),expense!$A:$G,$F$2,FALSE),0)</f>
        <v>0</v>
      </c>
      <c r="L75" s="14">
        <f>IFERROR(VLOOKUP(VLOOKUP(IFERROR(LEFT(playground!M88,SEARCH("|",playground!M88,1)-1),""),$C:$D,2,FALSE)&amp;RIGHT(playground!M88,4),expense!$A:$G,$F$2,FALSE),0)</f>
        <v>0</v>
      </c>
      <c r="M75" s="14">
        <f>IFERROR(VLOOKUP(VLOOKUP(IFERROR(LEFT(playground!N88,SEARCH("|",playground!N88,1)-1),""),$C:$D,2,FALSE)&amp;RIGHT(playground!N88,4),expense!$A:$G,$F$2,FALSE),0)</f>
        <v>0</v>
      </c>
      <c r="N75" s="14">
        <f t="shared" si="7"/>
        <v>0</v>
      </c>
    </row>
    <row r="76" spans="1:14" x14ac:dyDescent="0.25">
      <c r="A76">
        <v>75</v>
      </c>
      <c r="B76" t="str">
        <f>IF(playground!G89=0,"",playground!G89)</f>
        <v/>
      </c>
      <c r="C76" t="str">
        <f t="shared" si="4"/>
        <v/>
      </c>
      <c r="D76" t="str">
        <f t="shared" si="5"/>
        <v/>
      </c>
      <c r="E76" t="str">
        <f t="shared" si="6"/>
        <v/>
      </c>
      <c r="G76" s="14">
        <f>IFERROR(VLOOKUP(VLOOKUP(IFERROR(LEFT(playground!H89,SEARCH("|",playground!H89,1)-1),""),$C:$D,2,FALSE)&amp;RIGHT(playground!H89,4),expense!$A:$G,$F$2,FALSE),0)</f>
        <v>0</v>
      </c>
      <c r="H76" s="14">
        <f>IFERROR(VLOOKUP(VLOOKUP(IFERROR(LEFT(playground!I89,SEARCH("|",playground!I89,1)-1),""),$C:$D,2,FALSE)&amp;RIGHT(playground!I89,4),expense!$A:$G,$F$2,FALSE),0)</f>
        <v>0</v>
      </c>
      <c r="I76" s="14">
        <f>IFERROR(VLOOKUP(VLOOKUP(IFERROR(LEFT(playground!J89,SEARCH("|",playground!J89,1)-1),""),$C:$D,2,FALSE)&amp;RIGHT(playground!J89,4),expense!$A:$G,$F$2,FALSE),0)</f>
        <v>0</v>
      </c>
      <c r="J76" s="14">
        <f>IFERROR(VLOOKUP(VLOOKUP(IFERROR(LEFT(playground!K89,SEARCH("|",playground!K89,1)-1),""),$C:$D,2,FALSE)&amp;RIGHT(playground!K89,4),expense!$A:$G,$F$2,FALSE),0)</f>
        <v>0</v>
      </c>
      <c r="K76" s="14">
        <f>IFERROR(VLOOKUP(VLOOKUP(IFERROR(LEFT(playground!L89,SEARCH("|",playground!L89,1)-1),""),$C:$D,2,FALSE)&amp;RIGHT(playground!L89,4),expense!$A:$G,$F$2,FALSE),0)</f>
        <v>0</v>
      </c>
      <c r="L76" s="14">
        <f>IFERROR(VLOOKUP(VLOOKUP(IFERROR(LEFT(playground!M89,SEARCH("|",playground!M89,1)-1),""),$C:$D,2,FALSE)&amp;RIGHT(playground!M89,4),expense!$A:$G,$F$2,FALSE),0)</f>
        <v>0</v>
      </c>
      <c r="M76" s="14">
        <f>IFERROR(VLOOKUP(VLOOKUP(IFERROR(LEFT(playground!N89,SEARCH("|",playground!N89,1)-1),""),$C:$D,2,FALSE)&amp;RIGHT(playground!N89,4),expense!$A:$G,$F$2,FALSE),0)</f>
        <v>0</v>
      </c>
      <c r="N76" s="14">
        <f t="shared" si="7"/>
        <v>0</v>
      </c>
    </row>
    <row r="77" spans="1:14" x14ac:dyDescent="0.25">
      <c r="A77">
        <v>76</v>
      </c>
      <c r="B77" t="str">
        <f>IF(playground!G90=0,"",playground!G90)</f>
        <v/>
      </c>
      <c r="C77" t="str">
        <f t="shared" si="4"/>
        <v/>
      </c>
      <c r="D77" t="str">
        <f t="shared" si="5"/>
        <v/>
      </c>
      <c r="E77" t="str">
        <f t="shared" si="6"/>
        <v/>
      </c>
      <c r="G77" s="14">
        <f>IFERROR(VLOOKUP(VLOOKUP(IFERROR(LEFT(playground!H90,SEARCH("|",playground!H90,1)-1),""),$C:$D,2,FALSE)&amp;RIGHT(playground!H90,4),expense!$A:$G,$F$2,FALSE),0)</f>
        <v>25270</v>
      </c>
      <c r="H77" s="14">
        <f>IFERROR(VLOOKUP(VLOOKUP(IFERROR(LEFT(playground!I90,SEARCH("|",playground!I90,1)-1),""),$C:$D,2,FALSE)&amp;RIGHT(playground!I90,4),expense!$A:$G,$F$2,FALSE),0)</f>
        <v>0</v>
      </c>
      <c r="I77" s="14">
        <f>IFERROR(VLOOKUP(VLOOKUP(IFERROR(LEFT(playground!J90,SEARCH("|",playground!J90,1)-1),""),$C:$D,2,FALSE)&amp;RIGHT(playground!J90,4),expense!$A:$G,$F$2,FALSE),0)</f>
        <v>0</v>
      </c>
      <c r="J77" s="14">
        <f>IFERROR(VLOOKUP(VLOOKUP(IFERROR(LEFT(playground!K90,SEARCH("|",playground!K90,1)-1),""),$C:$D,2,FALSE)&amp;RIGHT(playground!K90,4),expense!$A:$G,$F$2,FALSE),0)</f>
        <v>0</v>
      </c>
      <c r="K77" s="14">
        <f>IFERROR(VLOOKUP(VLOOKUP(IFERROR(LEFT(playground!L90,SEARCH("|",playground!L90,1)-1),""),$C:$D,2,FALSE)&amp;RIGHT(playground!L90,4),expense!$A:$G,$F$2,FALSE),0)</f>
        <v>0</v>
      </c>
      <c r="L77" s="14">
        <f>IFERROR(VLOOKUP(VLOOKUP(IFERROR(LEFT(playground!M90,SEARCH("|",playground!M90,1)-1),""),$C:$D,2,FALSE)&amp;RIGHT(playground!M90,4),expense!$A:$G,$F$2,FALSE),0)</f>
        <v>0</v>
      </c>
      <c r="M77" s="14">
        <f>IFERROR(VLOOKUP(VLOOKUP(IFERROR(LEFT(playground!N90,SEARCH("|",playground!N90,1)-1),""),$C:$D,2,FALSE)&amp;RIGHT(playground!N90,4),expense!$A:$G,$F$2,FALSE),0)</f>
        <v>0</v>
      </c>
      <c r="N77" s="14">
        <f t="shared" si="7"/>
        <v>25270</v>
      </c>
    </row>
    <row r="78" spans="1:14" x14ac:dyDescent="0.25">
      <c r="A78">
        <v>77</v>
      </c>
      <c r="B78" t="str">
        <f>IF(playground!G91=0,"",playground!G91)</f>
        <v/>
      </c>
      <c r="C78" t="str">
        <f t="shared" si="4"/>
        <v/>
      </c>
      <c r="D78" t="str">
        <f t="shared" si="5"/>
        <v/>
      </c>
      <c r="E78" t="str">
        <f t="shared" si="6"/>
        <v/>
      </c>
      <c r="G78" s="14">
        <f>IFERROR(VLOOKUP(VLOOKUP(IFERROR(LEFT(playground!H91,SEARCH("|",playground!H91,1)-1),""),$C:$D,2,FALSE)&amp;RIGHT(playground!H91,4),expense!$A:$G,$F$2,FALSE),0)</f>
        <v>0</v>
      </c>
      <c r="H78" s="14">
        <f>IFERROR(VLOOKUP(VLOOKUP(IFERROR(LEFT(playground!I91,SEARCH("|",playground!I91,1)-1),""),$C:$D,2,FALSE)&amp;RIGHT(playground!I91,4),expense!$A:$G,$F$2,FALSE),0)</f>
        <v>0</v>
      </c>
      <c r="I78" s="14">
        <f>IFERROR(VLOOKUP(VLOOKUP(IFERROR(LEFT(playground!J91,SEARCH("|",playground!J91,1)-1),""),$C:$D,2,FALSE)&amp;RIGHT(playground!J91,4),expense!$A:$G,$F$2,FALSE),0)</f>
        <v>0</v>
      </c>
      <c r="J78" s="14">
        <f>IFERROR(VLOOKUP(VLOOKUP(IFERROR(LEFT(playground!K91,SEARCH("|",playground!K91,1)-1),""),$C:$D,2,FALSE)&amp;RIGHT(playground!K91,4),expense!$A:$G,$F$2,FALSE),0)</f>
        <v>0</v>
      </c>
      <c r="K78" s="14">
        <f>IFERROR(VLOOKUP(VLOOKUP(IFERROR(LEFT(playground!L91,SEARCH("|",playground!L91,1)-1),""),$C:$D,2,FALSE)&amp;RIGHT(playground!L91,4),expense!$A:$G,$F$2,FALSE),0)</f>
        <v>0</v>
      </c>
      <c r="L78" s="14">
        <f>IFERROR(VLOOKUP(VLOOKUP(IFERROR(LEFT(playground!M91,SEARCH("|",playground!M91,1)-1),""),$C:$D,2,FALSE)&amp;RIGHT(playground!M91,4),expense!$A:$G,$F$2,FALSE),0)</f>
        <v>0</v>
      </c>
      <c r="M78" s="14">
        <f>IFERROR(VLOOKUP(VLOOKUP(IFERROR(LEFT(playground!N91,SEARCH("|",playground!N91,1)-1),""),$C:$D,2,FALSE)&amp;RIGHT(playground!N91,4),expense!$A:$G,$F$2,FALSE),0)</f>
        <v>0</v>
      </c>
      <c r="N78" s="14">
        <f t="shared" si="7"/>
        <v>0</v>
      </c>
    </row>
    <row r="79" spans="1:14" x14ac:dyDescent="0.25">
      <c r="A79">
        <v>78</v>
      </c>
      <c r="B79" t="str">
        <f>IF(playground!G92=0,"",playground!G92)</f>
        <v/>
      </c>
      <c r="C79" t="str">
        <f t="shared" si="4"/>
        <v/>
      </c>
      <c r="D79" t="str">
        <f t="shared" si="5"/>
        <v/>
      </c>
      <c r="E79" t="str">
        <f t="shared" si="6"/>
        <v/>
      </c>
      <c r="G79" s="14">
        <f>IFERROR(VLOOKUP(VLOOKUP(IFERROR(LEFT(playground!H92,SEARCH("|",playground!H92,1)-1),""),$C:$D,2,FALSE)&amp;RIGHT(playground!H92,4),expense!$A:$G,$F$2,FALSE),0)</f>
        <v>0</v>
      </c>
      <c r="H79" s="14">
        <f>IFERROR(VLOOKUP(VLOOKUP(IFERROR(LEFT(playground!I92,SEARCH("|",playground!I92,1)-1),""),$C:$D,2,FALSE)&amp;RIGHT(playground!I92,4),expense!$A:$G,$F$2,FALSE),0)</f>
        <v>0</v>
      </c>
      <c r="I79" s="14">
        <f>IFERROR(VLOOKUP(VLOOKUP(IFERROR(LEFT(playground!J92,SEARCH("|",playground!J92,1)-1),""),$C:$D,2,FALSE)&amp;RIGHT(playground!J92,4),expense!$A:$G,$F$2,FALSE),0)</f>
        <v>0</v>
      </c>
      <c r="J79" s="14">
        <f>IFERROR(VLOOKUP(VLOOKUP(IFERROR(LEFT(playground!K92,SEARCH("|",playground!K92,1)-1),""),$C:$D,2,FALSE)&amp;RIGHT(playground!K92,4),expense!$A:$G,$F$2,FALSE),0)</f>
        <v>0</v>
      </c>
      <c r="K79" s="14">
        <f>IFERROR(VLOOKUP(VLOOKUP(IFERROR(LEFT(playground!L92,SEARCH("|",playground!L92,1)-1),""),$C:$D,2,FALSE)&amp;RIGHT(playground!L92,4),expense!$A:$G,$F$2,FALSE),0)</f>
        <v>0</v>
      </c>
      <c r="L79" s="14">
        <f>IFERROR(VLOOKUP(VLOOKUP(IFERROR(LEFT(playground!M92,SEARCH("|",playground!M92,1)-1),""),$C:$D,2,FALSE)&amp;RIGHT(playground!M92,4),expense!$A:$G,$F$2,FALSE),0)</f>
        <v>0</v>
      </c>
      <c r="M79" s="14">
        <f>IFERROR(VLOOKUP(VLOOKUP(IFERROR(LEFT(playground!N92,SEARCH("|",playground!N92,1)-1),""),$C:$D,2,FALSE)&amp;RIGHT(playground!N92,4),expense!$A:$G,$F$2,FALSE),0)</f>
        <v>0</v>
      </c>
      <c r="N79" s="14">
        <f t="shared" si="7"/>
        <v>0</v>
      </c>
    </row>
    <row r="80" spans="1:14" x14ac:dyDescent="0.25">
      <c r="A80">
        <v>79</v>
      </c>
      <c r="B80" t="str">
        <f>IF(playground!G93=0,"",playground!G93)</f>
        <v/>
      </c>
      <c r="C80" t="str">
        <f t="shared" si="4"/>
        <v/>
      </c>
      <c r="D80" t="str">
        <f t="shared" si="5"/>
        <v/>
      </c>
      <c r="E80" t="str">
        <f t="shared" si="6"/>
        <v/>
      </c>
      <c r="G80" s="14">
        <f>IFERROR(VLOOKUP(VLOOKUP(IFERROR(LEFT(playground!H93,SEARCH("|",playground!H93,1)-1),""),$C:$D,2,FALSE)&amp;RIGHT(playground!H93,4),expense!$A:$G,$F$2,FALSE),0)</f>
        <v>0</v>
      </c>
      <c r="H80" s="14">
        <f>IFERROR(VLOOKUP(VLOOKUP(IFERROR(LEFT(playground!I93,SEARCH("|",playground!I93,1)-1),""),$C:$D,2,FALSE)&amp;RIGHT(playground!I93,4),expense!$A:$G,$F$2,FALSE),0)</f>
        <v>0</v>
      </c>
      <c r="I80" s="14">
        <f>IFERROR(VLOOKUP(VLOOKUP(IFERROR(LEFT(playground!J93,SEARCH("|",playground!J93,1)-1),""),$C:$D,2,FALSE)&amp;RIGHT(playground!J93,4),expense!$A:$G,$F$2,FALSE),0)</f>
        <v>0</v>
      </c>
      <c r="J80" s="14">
        <f>IFERROR(VLOOKUP(VLOOKUP(IFERROR(LEFT(playground!K93,SEARCH("|",playground!K93,1)-1),""),$C:$D,2,FALSE)&amp;RIGHT(playground!K93,4),expense!$A:$G,$F$2,FALSE),0)</f>
        <v>0</v>
      </c>
      <c r="K80" s="14">
        <f>IFERROR(VLOOKUP(VLOOKUP(IFERROR(LEFT(playground!L93,SEARCH("|",playground!L93,1)-1),""),$C:$D,2,FALSE)&amp;RIGHT(playground!L93,4),expense!$A:$G,$F$2,FALSE),0)</f>
        <v>0</v>
      </c>
      <c r="L80" s="14">
        <f>IFERROR(VLOOKUP(VLOOKUP(IFERROR(LEFT(playground!M93,SEARCH("|",playground!M93,1)-1),""),$C:$D,2,FALSE)&amp;RIGHT(playground!M93,4),expense!$A:$G,$F$2,FALSE),0)</f>
        <v>0</v>
      </c>
      <c r="M80" s="14">
        <f>IFERROR(VLOOKUP(VLOOKUP(IFERROR(LEFT(playground!N93,SEARCH("|",playground!N93,1)-1),""),$C:$D,2,FALSE)&amp;RIGHT(playground!N93,4),expense!$A:$G,$F$2,FALSE),0)</f>
        <v>0</v>
      </c>
      <c r="N80" s="14">
        <f t="shared" si="7"/>
        <v>0</v>
      </c>
    </row>
    <row r="81" spans="1:14" x14ac:dyDescent="0.25">
      <c r="A81">
        <v>80</v>
      </c>
      <c r="B81" t="str">
        <f>IF(playground!G94=0,"",playground!G94)</f>
        <v/>
      </c>
      <c r="C81" t="str">
        <f t="shared" si="4"/>
        <v/>
      </c>
      <c r="D81" t="str">
        <f t="shared" si="5"/>
        <v/>
      </c>
      <c r="E81" t="str">
        <f t="shared" si="6"/>
        <v/>
      </c>
      <c r="G81" s="14">
        <f>IFERROR(VLOOKUP(VLOOKUP(IFERROR(LEFT(playground!H94,SEARCH("|",playground!H94,1)-1),""),$C:$D,2,FALSE)&amp;RIGHT(playground!H94,4),expense!$A:$G,$F$2,FALSE),0)</f>
        <v>0</v>
      </c>
      <c r="H81" s="14">
        <f>IFERROR(VLOOKUP(VLOOKUP(IFERROR(LEFT(playground!I94,SEARCH("|",playground!I94,1)-1),""),$C:$D,2,FALSE)&amp;RIGHT(playground!I94,4),expense!$A:$G,$F$2,FALSE),0)</f>
        <v>0</v>
      </c>
      <c r="I81" s="14">
        <f>IFERROR(VLOOKUP(VLOOKUP(IFERROR(LEFT(playground!J94,SEARCH("|",playground!J94,1)-1),""),$C:$D,2,FALSE)&amp;RIGHT(playground!J94,4),expense!$A:$G,$F$2,FALSE),0)</f>
        <v>0</v>
      </c>
      <c r="J81" s="14">
        <f>IFERROR(VLOOKUP(VLOOKUP(IFERROR(LEFT(playground!K94,SEARCH("|",playground!K94,1)-1),""),$C:$D,2,FALSE)&amp;RIGHT(playground!K94,4),expense!$A:$G,$F$2,FALSE),0)</f>
        <v>0</v>
      </c>
      <c r="K81" s="14">
        <f>IFERROR(VLOOKUP(VLOOKUP(IFERROR(LEFT(playground!L94,SEARCH("|",playground!L94,1)-1),""),$C:$D,2,FALSE)&amp;RIGHT(playground!L94,4),expense!$A:$G,$F$2,FALSE),0)</f>
        <v>0</v>
      </c>
      <c r="L81" s="14">
        <f>IFERROR(VLOOKUP(VLOOKUP(IFERROR(LEFT(playground!M94,SEARCH("|",playground!M94,1)-1),""),$C:$D,2,FALSE)&amp;RIGHT(playground!M94,4),expense!$A:$G,$F$2,FALSE),0)</f>
        <v>0</v>
      </c>
      <c r="M81" s="14">
        <f>IFERROR(VLOOKUP(VLOOKUP(IFERROR(LEFT(playground!N94,SEARCH("|",playground!N94,1)-1),""),$C:$D,2,FALSE)&amp;RIGHT(playground!N94,4),expense!$A:$G,$F$2,FALSE),0)</f>
        <v>0</v>
      </c>
      <c r="N81" s="14">
        <f t="shared" si="7"/>
        <v>0</v>
      </c>
    </row>
    <row r="82" spans="1:14" x14ac:dyDescent="0.25">
      <c r="A82">
        <v>81</v>
      </c>
      <c r="B82" t="str">
        <f>IF(playground!G95=0,"",playground!G95)</f>
        <v/>
      </c>
      <c r="C82" t="str">
        <f t="shared" si="4"/>
        <v/>
      </c>
      <c r="D82" t="str">
        <f t="shared" si="5"/>
        <v/>
      </c>
      <c r="E82" t="str">
        <f t="shared" si="6"/>
        <v/>
      </c>
      <c r="G82" s="14">
        <f>IFERROR(VLOOKUP(VLOOKUP(IFERROR(LEFT(playground!H95,SEARCH("|",playground!H95,1)-1),""),$C:$D,2,FALSE)&amp;RIGHT(playground!H95,4),expense!$A:$G,$F$2,FALSE),0)</f>
        <v>0</v>
      </c>
      <c r="H82" s="14">
        <f>IFERROR(VLOOKUP(VLOOKUP(IFERROR(LEFT(playground!I95,SEARCH("|",playground!I95,1)-1),""),$C:$D,2,FALSE)&amp;RIGHT(playground!I95,4),expense!$A:$G,$F$2,FALSE),0)</f>
        <v>0</v>
      </c>
      <c r="I82" s="14">
        <f>IFERROR(VLOOKUP(VLOOKUP(IFERROR(LEFT(playground!J95,SEARCH("|",playground!J95,1)-1),""),$C:$D,2,FALSE)&amp;RIGHT(playground!J95,4),expense!$A:$G,$F$2,FALSE),0)</f>
        <v>0</v>
      </c>
      <c r="J82" s="14">
        <f>IFERROR(VLOOKUP(VLOOKUP(IFERROR(LEFT(playground!K95,SEARCH("|",playground!K95,1)-1),""),$C:$D,2,FALSE)&amp;RIGHT(playground!K95,4),expense!$A:$G,$F$2,FALSE),0)</f>
        <v>0</v>
      </c>
      <c r="K82" s="14">
        <f>IFERROR(VLOOKUP(VLOOKUP(IFERROR(LEFT(playground!L95,SEARCH("|",playground!L95,1)-1),""),$C:$D,2,FALSE)&amp;RIGHT(playground!L95,4),expense!$A:$G,$F$2,FALSE),0)</f>
        <v>0</v>
      </c>
      <c r="L82" s="14">
        <f>IFERROR(VLOOKUP(VLOOKUP(IFERROR(LEFT(playground!M95,SEARCH("|",playground!M95,1)-1),""),$C:$D,2,FALSE)&amp;RIGHT(playground!M95,4),expense!$A:$G,$F$2,FALSE),0)</f>
        <v>0</v>
      </c>
      <c r="M82" s="14">
        <f>IFERROR(VLOOKUP(VLOOKUP(IFERROR(LEFT(playground!N95,SEARCH("|",playground!N95,1)-1),""),$C:$D,2,FALSE)&amp;RIGHT(playground!N95,4),expense!$A:$G,$F$2,FALSE),0)</f>
        <v>0</v>
      </c>
      <c r="N82" s="14">
        <f t="shared" si="7"/>
        <v>0</v>
      </c>
    </row>
    <row r="83" spans="1:14" x14ac:dyDescent="0.25">
      <c r="A83">
        <v>82</v>
      </c>
      <c r="B83" t="str">
        <f>IF(playground!G96=0,"",playground!G96)</f>
        <v/>
      </c>
      <c r="C83" t="str">
        <f t="shared" si="4"/>
        <v/>
      </c>
      <c r="D83" t="str">
        <f t="shared" si="5"/>
        <v/>
      </c>
      <c r="E83" t="str">
        <f t="shared" si="6"/>
        <v/>
      </c>
      <c r="G83" s="14">
        <f>IFERROR(VLOOKUP(VLOOKUP(IFERROR(LEFT(playground!H96,SEARCH("|",playground!H96,1)-1),""),$C:$D,2,FALSE)&amp;RIGHT(playground!H96,4),expense!$A:$G,$F$2,FALSE),0)</f>
        <v>0</v>
      </c>
      <c r="H83" s="14">
        <f>IFERROR(VLOOKUP(VLOOKUP(IFERROR(LEFT(playground!I96,SEARCH("|",playground!I96,1)-1),""),$C:$D,2,FALSE)&amp;RIGHT(playground!I96,4),expense!$A:$G,$F$2,FALSE),0)</f>
        <v>0</v>
      </c>
      <c r="I83" s="14">
        <f>IFERROR(VLOOKUP(VLOOKUP(IFERROR(LEFT(playground!J96,SEARCH("|",playground!J96,1)-1),""),$C:$D,2,FALSE)&amp;RIGHT(playground!J96,4),expense!$A:$G,$F$2,FALSE),0)</f>
        <v>0</v>
      </c>
      <c r="J83" s="14">
        <f>IFERROR(VLOOKUP(VLOOKUP(IFERROR(LEFT(playground!K96,SEARCH("|",playground!K96,1)-1),""),$C:$D,2,FALSE)&amp;RIGHT(playground!K96,4),expense!$A:$G,$F$2,FALSE),0)</f>
        <v>0</v>
      </c>
      <c r="K83" s="14">
        <f>IFERROR(VLOOKUP(VLOOKUP(IFERROR(LEFT(playground!L96,SEARCH("|",playground!L96,1)-1),""),$C:$D,2,FALSE)&amp;RIGHT(playground!L96,4),expense!$A:$G,$F$2,FALSE),0)</f>
        <v>0</v>
      </c>
      <c r="L83" s="14">
        <f>IFERROR(VLOOKUP(VLOOKUP(IFERROR(LEFT(playground!M96,SEARCH("|",playground!M96,1)-1),""),$C:$D,2,FALSE)&amp;RIGHT(playground!M96,4),expense!$A:$G,$F$2,FALSE),0)</f>
        <v>0</v>
      </c>
      <c r="M83" s="14">
        <f>IFERROR(VLOOKUP(VLOOKUP(IFERROR(LEFT(playground!N96,SEARCH("|",playground!N96,1)-1),""),$C:$D,2,FALSE)&amp;RIGHT(playground!N96,4),expense!$A:$G,$F$2,FALSE),0)</f>
        <v>0</v>
      </c>
      <c r="N83" s="14">
        <f t="shared" si="7"/>
        <v>0</v>
      </c>
    </row>
    <row r="84" spans="1:14" x14ac:dyDescent="0.25">
      <c r="A84">
        <v>83</v>
      </c>
      <c r="B84" t="str">
        <f>IF(playground!G97=0,"",playground!G97)</f>
        <v/>
      </c>
      <c r="C84" t="str">
        <f t="shared" si="4"/>
        <v/>
      </c>
      <c r="D84" t="str">
        <f t="shared" si="5"/>
        <v/>
      </c>
      <c r="E84" t="str">
        <f t="shared" si="6"/>
        <v/>
      </c>
      <c r="G84" s="14">
        <f>IFERROR(VLOOKUP(VLOOKUP(IFERROR(LEFT(playground!H97,SEARCH("|",playground!H97,1)-1),""),$C:$D,2,FALSE)&amp;RIGHT(playground!H97,4),expense!$A:$G,$F$2,FALSE),0)</f>
        <v>0</v>
      </c>
      <c r="H84" s="14">
        <f>IFERROR(VLOOKUP(VLOOKUP(IFERROR(LEFT(playground!I97,SEARCH("|",playground!I97,1)-1),""),$C:$D,2,FALSE)&amp;RIGHT(playground!I97,4),expense!$A:$G,$F$2,FALSE),0)</f>
        <v>0</v>
      </c>
      <c r="I84" s="14">
        <f>IFERROR(VLOOKUP(VLOOKUP(IFERROR(LEFT(playground!J97,SEARCH("|",playground!J97,1)-1),""),$C:$D,2,FALSE)&amp;RIGHT(playground!J97,4),expense!$A:$G,$F$2,FALSE),0)</f>
        <v>0</v>
      </c>
      <c r="J84" s="14">
        <f>IFERROR(VLOOKUP(VLOOKUP(IFERROR(LEFT(playground!K97,SEARCH("|",playground!K97,1)-1),""),$C:$D,2,FALSE)&amp;RIGHT(playground!K97,4),expense!$A:$G,$F$2,FALSE),0)</f>
        <v>0</v>
      </c>
      <c r="K84" s="14">
        <f>IFERROR(VLOOKUP(VLOOKUP(IFERROR(LEFT(playground!L97,SEARCH("|",playground!L97,1)-1),""),$C:$D,2,FALSE)&amp;RIGHT(playground!L97,4),expense!$A:$G,$F$2,FALSE),0)</f>
        <v>0</v>
      </c>
      <c r="L84" s="14">
        <f>IFERROR(VLOOKUP(VLOOKUP(IFERROR(LEFT(playground!M97,SEARCH("|",playground!M97,1)-1),""),$C:$D,2,FALSE)&amp;RIGHT(playground!M97,4),expense!$A:$G,$F$2,FALSE),0)</f>
        <v>0</v>
      </c>
      <c r="M84" s="14">
        <f>IFERROR(VLOOKUP(VLOOKUP(IFERROR(LEFT(playground!N97,SEARCH("|",playground!N97,1)-1),""),$C:$D,2,FALSE)&amp;RIGHT(playground!N97,4),expense!$A:$G,$F$2,FALSE),0)</f>
        <v>0</v>
      </c>
      <c r="N84" s="14">
        <f t="shared" si="7"/>
        <v>0</v>
      </c>
    </row>
    <row r="85" spans="1:14" x14ac:dyDescent="0.25">
      <c r="A85">
        <v>84</v>
      </c>
      <c r="B85" t="str">
        <f>IF(playground!G98=0,"",playground!G98)</f>
        <v/>
      </c>
      <c r="C85" t="str">
        <f t="shared" si="4"/>
        <v/>
      </c>
      <c r="D85" t="str">
        <f t="shared" si="5"/>
        <v/>
      </c>
      <c r="E85" t="str">
        <f t="shared" si="6"/>
        <v/>
      </c>
      <c r="G85" s="14">
        <f>IFERROR(VLOOKUP(VLOOKUP(IFERROR(LEFT(playground!H98,SEARCH("|",playground!H98,1)-1),""),$C:$D,2,FALSE)&amp;RIGHT(playground!H98,4),expense!$A:$G,$F$2,FALSE),0)</f>
        <v>0</v>
      </c>
      <c r="H85" s="14">
        <f>IFERROR(VLOOKUP(VLOOKUP(IFERROR(LEFT(playground!I98,SEARCH("|",playground!I98,1)-1),""),$C:$D,2,FALSE)&amp;RIGHT(playground!I98,4),expense!$A:$G,$F$2,FALSE),0)</f>
        <v>0</v>
      </c>
      <c r="I85" s="14">
        <f>IFERROR(VLOOKUP(VLOOKUP(IFERROR(LEFT(playground!J98,SEARCH("|",playground!J98,1)-1),""),$C:$D,2,FALSE)&amp;RIGHT(playground!J98,4),expense!$A:$G,$F$2,FALSE),0)</f>
        <v>0</v>
      </c>
      <c r="J85" s="14">
        <f>IFERROR(VLOOKUP(VLOOKUP(IFERROR(LEFT(playground!K98,SEARCH("|",playground!K98,1)-1),""),$C:$D,2,FALSE)&amp;RIGHT(playground!K98,4),expense!$A:$G,$F$2,FALSE),0)</f>
        <v>0</v>
      </c>
      <c r="K85" s="14">
        <f>IFERROR(VLOOKUP(VLOOKUP(IFERROR(LEFT(playground!L98,SEARCH("|",playground!L98,1)-1),""),$C:$D,2,FALSE)&amp;RIGHT(playground!L98,4),expense!$A:$G,$F$2,FALSE),0)</f>
        <v>0</v>
      </c>
      <c r="L85" s="14">
        <f>IFERROR(VLOOKUP(VLOOKUP(IFERROR(LEFT(playground!M98,SEARCH("|",playground!M98,1)-1),""),$C:$D,2,FALSE)&amp;RIGHT(playground!M98,4),expense!$A:$G,$F$2,FALSE),0)</f>
        <v>0</v>
      </c>
      <c r="M85" s="14">
        <f>IFERROR(VLOOKUP(VLOOKUP(IFERROR(LEFT(playground!N98,SEARCH("|",playground!N98,1)-1),""),$C:$D,2,FALSE)&amp;RIGHT(playground!N98,4),expense!$A:$G,$F$2,FALSE),0)</f>
        <v>0</v>
      </c>
      <c r="N85" s="14">
        <f t="shared" si="7"/>
        <v>0</v>
      </c>
    </row>
    <row r="86" spans="1:14" x14ac:dyDescent="0.25">
      <c r="A86">
        <v>85</v>
      </c>
      <c r="B86" t="str">
        <f>IF(playground!G99=0,"",playground!G99)</f>
        <v/>
      </c>
      <c r="C86" t="str">
        <f t="shared" si="4"/>
        <v/>
      </c>
      <c r="D86" t="str">
        <f t="shared" si="5"/>
        <v/>
      </c>
      <c r="E86" t="str">
        <f t="shared" si="6"/>
        <v/>
      </c>
      <c r="G86" s="14">
        <f>IFERROR(VLOOKUP(VLOOKUP(IFERROR(LEFT(playground!H99,SEARCH("|",playground!H99,1)-1),""),$C:$D,2,FALSE)&amp;RIGHT(playground!H99,4),expense!$A:$G,$F$2,FALSE),0)</f>
        <v>0</v>
      </c>
      <c r="H86" s="14">
        <f>IFERROR(VLOOKUP(VLOOKUP(IFERROR(LEFT(playground!I99,SEARCH("|",playground!I99,1)-1),""),$C:$D,2,FALSE)&amp;RIGHT(playground!I99,4),expense!$A:$G,$F$2,FALSE),0)</f>
        <v>0</v>
      </c>
      <c r="I86" s="14">
        <f>IFERROR(VLOOKUP(VLOOKUP(IFERROR(LEFT(playground!J99,SEARCH("|",playground!J99,1)-1),""),$C:$D,2,FALSE)&amp;RIGHT(playground!J99,4),expense!$A:$G,$F$2,FALSE),0)</f>
        <v>0</v>
      </c>
      <c r="J86" s="14">
        <f>IFERROR(VLOOKUP(VLOOKUP(IFERROR(LEFT(playground!K99,SEARCH("|",playground!K99,1)-1),""),$C:$D,2,FALSE)&amp;RIGHT(playground!K99,4),expense!$A:$G,$F$2,FALSE),0)</f>
        <v>0</v>
      </c>
      <c r="K86" s="14">
        <f>IFERROR(VLOOKUP(VLOOKUP(IFERROR(LEFT(playground!L99,SEARCH("|",playground!L99,1)-1),""),$C:$D,2,FALSE)&amp;RIGHT(playground!L99,4),expense!$A:$G,$F$2,FALSE),0)</f>
        <v>0</v>
      </c>
      <c r="L86" s="14">
        <f>IFERROR(VLOOKUP(VLOOKUP(IFERROR(LEFT(playground!M99,SEARCH("|",playground!M99,1)-1),""),$C:$D,2,FALSE)&amp;RIGHT(playground!M99,4),expense!$A:$G,$F$2,FALSE),0)</f>
        <v>0</v>
      </c>
      <c r="M86" s="14">
        <f>IFERROR(VLOOKUP(VLOOKUP(IFERROR(LEFT(playground!N99,SEARCH("|",playground!N99,1)-1),""),$C:$D,2,FALSE)&amp;RIGHT(playground!N99,4),expense!$A:$G,$F$2,FALSE),0)</f>
        <v>0</v>
      </c>
      <c r="N86" s="14">
        <f t="shared" si="7"/>
        <v>0</v>
      </c>
    </row>
    <row r="87" spans="1:14" x14ac:dyDescent="0.25">
      <c r="A87">
        <v>86</v>
      </c>
      <c r="B87" t="str">
        <f>IF(playground!G100=0,"",playground!G100)</f>
        <v/>
      </c>
      <c r="C87" t="str">
        <f t="shared" si="4"/>
        <v/>
      </c>
      <c r="D87" t="str">
        <f t="shared" si="5"/>
        <v/>
      </c>
      <c r="E87" t="str">
        <f t="shared" si="6"/>
        <v/>
      </c>
      <c r="G87" s="14">
        <f>IFERROR(VLOOKUP(VLOOKUP(IFERROR(LEFT(playground!H100,SEARCH("|",playground!H100,1)-1),""),$C:$D,2,FALSE)&amp;RIGHT(playground!H100,4),expense!$A:$G,$F$2,FALSE),0)</f>
        <v>43200</v>
      </c>
      <c r="H87" s="14">
        <f>IFERROR(VLOOKUP(VLOOKUP(IFERROR(LEFT(playground!I100,SEARCH("|",playground!I100,1)-1),""),$C:$D,2,FALSE)&amp;RIGHT(playground!I100,4),expense!$A:$G,$F$2,FALSE),0)</f>
        <v>0</v>
      </c>
      <c r="I87" s="14">
        <f>IFERROR(VLOOKUP(VLOOKUP(IFERROR(LEFT(playground!J100,SEARCH("|",playground!J100,1)-1),""),$C:$D,2,FALSE)&amp;RIGHT(playground!J100,4),expense!$A:$G,$F$2,FALSE),0)</f>
        <v>0</v>
      </c>
      <c r="J87" s="14">
        <f>IFERROR(VLOOKUP(VLOOKUP(IFERROR(LEFT(playground!K100,SEARCH("|",playground!K100,1)-1),""),$C:$D,2,FALSE)&amp;RIGHT(playground!K100,4),expense!$A:$G,$F$2,FALSE),0)</f>
        <v>0</v>
      </c>
      <c r="K87" s="14">
        <f>IFERROR(VLOOKUP(VLOOKUP(IFERROR(LEFT(playground!L100,SEARCH("|",playground!L100,1)-1),""),$C:$D,2,FALSE)&amp;RIGHT(playground!L100,4),expense!$A:$G,$F$2,FALSE),0)</f>
        <v>0</v>
      </c>
      <c r="L87" s="14">
        <f>IFERROR(VLOOKUP(VLOOKUP(IFERROR(LEFT(playground!M100,SEARCH("|",playground!M100,1)-1),""),$C:$D,2,FALSE)&amp;RIGHT(playground!M100,4),expense!$A:$G,$F$2,FALSE),0)</f>
        <v>0</v>
      </c>
      <c r="M87" s="14">
        <f>IFERROR(VLOOKUP(VLOOKUP(IFERROR(LEFT(playground!N100,SEARCH("|",playground!N100,1)-1),""),$C:$D,2,FALSE)&amp;RIGHT(playground!N100,4),expense!$A:$G,$F$2,FALSE),0)</f>
        <v>0</v>
      </c>
      <c r="N87" s="14">
        <f t="shared" si="7"/>
        <v>43200</v>
      </c>
    </row>
    <row r="88" spans="1:14" x14ac:dyDescent="0.25">
      <c r="A88">
        <v>87</v>
      </c>
      <c r="B88" t="str">
        <f>IF(playground!G101=0,"",playground!G101)</f>
        <v/>
      </c>
      <c r="C88" t="str">
        <f t="shared" si="4"/>
        <v/>
      </c>
      <c r="D88" t="str">
        <f t="shared" si="5"/>
        <v/>
      </c>
      <c r="E88" t="str">
        <f t="shared" si="6"/>
        <v/>
      </c>
      <c r="G88" s="14">
        <f>IFERROR(VLOOKUP(VLOOKUP(IFERROR(LEFT(playground!H101,SEARCH("|",playground!H101,1)-1),""),$C:$D,2,FALSE)&amp;RIGHT(playground!H101,4),expense!$A:$G,$F$2,FALSE),0)</f>
        <v>0</v>
      </c>
      <c r="H88" s="14">
        <f>IFERROR(VLOOKUP(VLOOKUP(IFERROR(LEFT(playground!I101,SEARCH("|",playground!I101,1)-1),""),$C:$D,2,FALSE)&amp;RIGHT(playground!I101,4),expense!$A:$G,$F$2,FALSE),0)</f>
        <v>0</v>
      </c>
      <c r="I88" s="14">
        <f>IFERROR(VLOOKUP(VLOOKUP(IFERROR(LEFT(playground!J101,SEARCH("|",playground!J101,1)-1),""),$C:$D,2,FALSE)&amp;RIGHT(playground!J101,4),expense!$A:$G,$F$2,FALSE),0)</f>
        <v>0</v>
      </c>
      <c r="J88" s="14">
        <f>IFERROR(VLOOKUP(VLOOKUP(IFERROR(LEFT(playground!K101,SEARCH("|",playground!K101,1)-1),""),$C:$D,2,FALSE)&amp;RIGHT(playground!K101,4),expense!$A:$G,$F$2,FALSE),0)</f>
        <v>0</v>
      </c>
      <c r="K88" s="14">
        <f>IFERROR(VLOOKUP(VLOOKUP(IFERROR(LEFT(playground!L101,SEARCH("|",playground!L101,1)-1),""),$C:$D,2,FALSE)&amp;RIGHT(playground!L101,4),expense!$A:$G,$F$2,FALSE),0)</f>
        <v>0</v>
      </c>
      <c r="L88" s="14">
        <f>IFERROR(VLOOKUP(VLOOKUP(IFERROR(LEFT(playground!M101,SEARCH("|",playground!M101,1)-1),""),$C:$D,2,FALSE)&amp;RIGHT(playground!M101,4),expense!$A:$G,$F$2,FALSE),0)</f>
        <v>0</v>
      </c>
      <c r="M88" s="14">
        <f>IFERROR(VLOOKUP(VLOOKUP(IFERROR(LEFT(playground!N101,SEARCH("|",playground!N101,1)-1),""),$C:$D,2,FALSE)&amp;RIGHT(playground!N101,4),expense!$A:$G,$F$2,FALSE),0)</f>
        <v>0</v>
      </c>
      <c r="N88" s="14">
        <f t="shared" si="7"/>
        <v>0</v>
      </c>
    </row>
    <row r="89" spans="1:14" x14ac:dyDescent="0.25">
      <c r="A89">
        <v>88</v>
      </c>
      <c r="B89" t="str">
        <f>IF(playground!G102=0,"",playground!G102)</f>
        <v/>
      </c>
      <c r="C89" t="str">
        <f t="shared" si="4"/>
        <v/>
      </c>
      <c r="D89" t="str">
        <f t="shared" si="5"/>
        <v/>
      </c>
      <c r="E89" t="str">
        <f t="shared" si="6"/>
        <v/>
      </c>
      <c r="G89" s="14">
        <f>IFERROR(VLOOKUP(VLOOKUP(IFERROR(LEFT(playground!H102,SEARCH("|",playground!H102,1)-1),""),$C:$D,2,FALSE)&amp;RIGHT(playground!H102,4),expense!$A:$G,$F$2,FALSE),0)</f>
        <v>0</v>
      </c>
      <c r="H89" s="14">
        <f>IFERROR(VLOOKUP(VLOOKUP(IFERROR(LEFT(playground!I102,SEARCH("|",playground!I102,1)-1),""),$C:$D,2,FALSE)&amp;RIGHT(playground!I102,4),expense!$A:$G,$F$2,FALSE),0)</f>
        <v>0</v>
      </c>
      <c r="I89" s="14">
        <f>IFERROR(VLOOKUP(VLOOKUP(IFERROR(LEFT(playground!J102,SEARCH("|",playground!J102,1)-1),""),$C:$D,2,FALSE)&amp;RIGHT(playground!J102,4),expense!$A:$G,$F$2,FALSE),0)</f>
        <v>0</v>
      </c>
      <c r="J89" s="14">
        <f>IFERROR(VLOOKUP(VLOOKUP(IFERROR(LEFT(playground!K102,SEARCH("|",playground!K102,1)-1),""),$C:$D,2,FALSE)&amp;RIGHT(playground!K102,4),expense!$A:$G,$F$2,FALSE),0)</f>
        <v>0</v>
      </c>
      <c r="K89" s="14">
        <f>IFERROR(VLOOKUP(VLOOKUP(IFERROR(LEFT(playground!L102,SEARCH("|",playground!L102,1)-1),""),$C:$D,2,FALSE)&amp;RIGHT(playground!L102,4),expense!$A:$G,$F$2,FALSE),0)</f>
        <v>0</v>
      </c>
      <c r="L89" s="14">
        <f>IFERROR(VLOOKUP(VLOOKUP(IFERROR(LEFT(playground!M102,SEARCH("|",playground!M102,1)-1),""),$C:$D,2,FALSE)&amp;RIGHT(playground!M102,4),expense!$A:$G,$F$2,FALSE),0)</f>
        <v>0</v>
      </c>
      <c r="M89" s="14">
        <f>IFERROR(VLOOKUP(VLOOKUP(IFERROR(LEFT(playground!N102,SEARCH("|",playground!N102,1)-1),""),$C:$D,2,FALSE)&amp;RIGHT(playground!N102,4),expense!$A:$G,$F$2,FALSE),0)</f>
        <v>0</v>
      </c>
      <c r="N89" s="14">
        <f t="shared" si="7"/>
        <v>0</v>
      </c>
    </row>
    <row r="90" spans="1:14" x14ac:dyDescent="0.25">
      <c r="A90">
        <v>89</v>
      </c>
      <c r="B90" t="str">
        <f>IF(playground!G103=0,"",playground!G103)</f>
        <v/>
      </c>
      <c r="C90" t="str">
        <f t="shared" si="4"/>
        <v/>
      </c>
      <c r="D90" t="str">
        <f t="shared" si="5"/>
        <v/>
      </c>
      <c r="E90" t="str">
        <f t="shared" si="6"/>
        <v/>
      </c>
      <c r="G90" s="14">
        <f>IFERROR(VLOOKUP(VLOOKUP(IFERROR(LEFT(playground!H103,SEARCH("|",playground!H103,1)-1),""),$C:$D,2,FALSE)&amp;RIGHT(playground!H103,4),expense!$A:$G,$F$2,FALSE),0)</f>
        <v>0</v>
      </c>
      <c r="H90" s="14">
        <f>IFERROR(VLOOKUP(VLOOKUP(IFERROR(LEFT(playground!I103,SEARCH("|",playground!I103,1)-1),""),$C:$D,2,FALSE)&amp;RIGHT(playground!I103,4),expense!$A:$G,$F$2,FALSE),0)</f>
        <v>0</v>
      </c>
      <c r="I90" s="14">
        <f>IFERROR(VLOOKUP(VLOOKUP(IFERROR(LEFT(playground!J103,SEARCH("|",playground!J103,1)-1),""),$C:$D,2,FALSE)&amp;RIGHT(playground!J103,4),expense!$A:$G,$F$2,FALSE),0)</f>
        <v>0</v>
      </c>
      <c r="J90" s="14">
        <f>IFERROR(VLOOKUP(VLOOKUP(IFERROR(LEFT(playground!K103,SEARCH("|",playground!K103,1)-1),""),$C:$D,2,FALSE)&amp;RIGHT(playground!K103,4),expense!$A:$G,$F$2,FALSE),0)</f>
        <v>0</v>
      </c>
      <c r="K90" s="14">
        <f>IFERROR(VLOOKUP(VLOOKUP(IFERROR(LEFT(playground!L103,SEARCH("|",playground!L103,1)-1),""),$C:$D,2,FALSE)&amp;RIGHT(playground!L103,4),expense!$A:$G,$F$2,FALSE),0)</f>
        <v>0</v>
      </c>
      <c r="L90" s="14">
        <f>IFERROR(VLOOKUP(VLOOKUP(IFERROR(LEFT(playground!M103,SEARCH("|",playground!M103,1)-1),""),$C:$D,2,FALSE)&amp;RIGHT(playground!M103,4),expense!$A:$G,$F$2,FALSE),0)</f>
        <v>0</v>
      </c>
      <c r="M90" s="14">
        <f>IFERROR(VLOOKUP(VLOOKUP(IFERROR(LEFT(playground!N103,SEARCH("|",playground!N103,1)-1),""),$C:$D,2,FALSE)&amp;RIGHT(playground!N103,4),expense!$A:$G,$F$2,FALSE),0)</f>
        <v>0</v>
      </c>
      <c r="N90" s="14">
        <f t="shared" si="7"/>
        <v>0</v>
      </c>
    </row>
    <row r="91" spans="1:14" x14ac:dyDescent="0.25">
      <c r="A91">
        <v>90</v>
      </c>
      <c r="B91" t="str">
        <f>IF(playground!G104=0,"",playground!G104)</f>
        <v/>
      </c>
      <c r="C91" t="str">
        <f t="shared" si="4"/>
        <v/>
      </c>
      <c r="D91" t="str">
        <f t="shared" si="5"/>
        <v/>
      </c>
      <c r="E91" t="str">
        <f t="shared" si="6"/>
        <v/>
      </c>
      <c r="G91" s="14">
        <f>IFERROR(VLOOKUP(VLOOKUP(IFERROR(LEFT(playground!H104,SEARCH("|",playground!H104,1)-1),""),$C:$D,2,FALSE)&amp;RIGHT(playground!H104,4),expense!$A:$G,$F$2,FALSE),0)</f>
        <v>0</v>
      </c>
      <c r="H91" s="14">
        <f>IFERROR(VLOOKUP(VLOOKUP(IFERROR(LEFT(playground!I104,SEARCH("|",playground!I104,1)-1),""),$C:$D,2,FALSE)&amp;RIGHT(playground!I104,4),expense!$A:$G,$F$2,FALSE),0)</f>
        <v>0</v>
      </c>
      <c r="I91" s="14">
        <f>IFERROR(VLOOKUP(VLOOKUP(IFERROR(LEFT(playground!J104,SEARCH("|",playground!J104,1)-1),""),$C:$D,2,FALSE)&amp;RIGHT(playground!J104,4),expense!$A:$G,$F$2,FALSE),0)</f>
        <v>0</v>
      </c>
      <c r="J91" s="14">
        <f>IFERROR(VLOOKUP(VLOOKUP(IFERROR(LEFT(playground!K104,SEARCH("|",playground!K104,1)-1),""),$C:$D,2,FALSE)&amp;RIGHT(playground!K104,4),expense!$A:$G,$F$2,FALSE),0)</f>
        <v>0</v>
      </c>
      <c r="K91" s="14">
        <f>IFERROR(VLOOKUP(VLOOKUP(IFERROR(LEFT(playground!L104,SEARCH("|",playground!L104,1)-1),""),$C:$D,2,FALSE)&amp;RIGHT(playground!L104,4),expense!$A:$G,$F$2,FALSE),0)</f>
        <v>0</v>
      </c>
      <c r="L91" s="14">
        <f>IFERROR(VLOOKUP(VLOOKUP(IFERROR(LEFT(playground!M104,SEARCH("|",playground!M104,1)-1),""),$C:$D,2,FALSE)&amp;RIGHT(playground!M104,4),expense!$A:$G,$F$2,FALSE),0)</f>
        <v>0</v>
      </c>
      <c r="M91" s="14">
        <f>IFERROR(VLOOKUP(VLOOKUP(IFERROR(LEFT(playground!N104,SEARCH("|",playground!N104,1)-1),""),$C:$D,2,FALSE)&amp;RIGHT(playground!N104,4),expense!$A:$G,$F$2,FALSE),0)</f>
        <v>0</v>
      </c>
      <c r="N91" s="14">
        <f t="shared" si="7"/>
        <v>0</v>
      </c>
    </row>
    <row r="92" spans="1:14" x14ac:dyDescent="0.25">
      <c r="A92">
        <v>91</v>
      </c>
      <c r="B92" t="str">
        <f>IF(playground!G105=0,"",playground!G105)</f>
        <v/>
      </c>
      <c r="C92" t="str">
        <f t="shared" si="4"/>
        <v/>
      </c>
      <c r="D92" t="str">
        <f t="shared" si="5"/>
        <v/>
      </c>
      <c r="E92" t="str">
        <f t="shared" si="6"/>
        <v/>
      </c>
      <c r="G92" s="14">
        <f>IFERROR(VLOOKUP(VLOOKUP(IFERROR(LEFT(playground!H105,SEARCH("|",playground!H105,1)-1),""),$C:$D,2,FALSE)&amp;RIGHT(playground!H105,4),expense!$A:$G,$F$2,FALSE),0)</f>
        <v>0</v>
      </c>
      <c r="H92" s="14">
        <f>IFERROR(VLOOKUP(VLOOKUP(IFERROR(LEFT(playground!I105,SEARCH("|",playground!I105,1)-1),""),$C:$D,2,FALSE)&amp;RIGHT(playground!I105,4),expense!$A:$G,$F$2,FALSE),0)</f>
        <v>0</v>
      </c>
      <c r="I92" s="14">
        <f>IFERROR(VLOOKUP(VLOOKUP(IFERROR(LEFT(playground!J105,SEARCH("|",playground!J105,1)-1),""),$C:$D,2,FALSE)&amp;RIGHT(playground!J105,4),expense!$A:$G,$F$2,FALSE),0)</f>
        <v>0</v>
      </c>
      <c r="J92" s="14">
        <f>IFERROR(VLOOKUP(VLOOKUP(IFERROR(LEFT(playground!K105,SEARCH("|",playground!K105,1)-1),""),$C:$D,2,FALSE)&amp;RIGHT(playground!K105,4),expense!$A:$G,$F$2,FALSE),0)</f>
        <v>0</v>
      </c>
      <c r="K92" s="14">
        <f>IFERROR(VLOOKUP(VLOOKUP(IFERROR(LEFT(playground!L105,SEARCH("|",playground!L105,1)-1),""),$C:$D,2,FALSE)&amp;RIGHT(playground!L105,4),expense!$A:$G,$F$2,FALSE),0)</f>
        <v>0</v>
      </c>
      <c r="L92" s="14">
        <f>IFERROR(VLOOKUP(VLOOKUP(IFERROR(LEFT(playground!M105,SEARCH("|",playground!M105,1)-1),""),$C:$D,2,FALSE)&amp;RIGHT(playground!M105,4),expense!$A:$G,$F$2,FALSE),0)</f>
        <v>0</v>
      </c>
      <c r="M92" s="14">
        <f>IFERROR(VLOOKUP(VLOOKUP(IFERROR(LEFT(playground!N105,SEARCH("|",playground!N105,1)-1),""),$C:$D,2,FALSE)&amp;RIGHT(playground!N105,4),expense!$A:$G,$F$2,FALSE),0)</f>
        <v>0</v>
      </c>
      <c r="N92" s="14">
        <f t="shared" si="7"/>
        <v>0</v>
      </c>
    </row>
    <row r="93" spans="1:14" x14ac:dyDescent="0.25">
      <c r="A93">
        <v>92</v>
      </c>
      <c r="B93" t="str">
        <f>IF(playground!G106=0,"",playground!G106)</f>
        <v/>
      </c>
      <c r="C93" t="str">
        <f t="shared" si="4"/>
        <v/>
      </c>
      <c r="D93" t="str">
        <f t="shared" si="5"/>
        <v/>
      </c>
      <c r="E93" t="str">
        <f t="shared" si="6"/>
        <v/>
      </c>
      <c r="G93" s="14">
        <f>IFERROR(VLOOKUP(VLOOKUP(IFERROR(LEFT(playground!H106,SEARCH("|",playground!H106,1)-1),""),$C:$D,2,FALSE)&amp;RIGHT(playground!H106,4),expense!$A:$G,$F$2,FALSE),0)</f>
        <v>0</v>
      </c>
      <c r="H93" s="14">
        <f>IFERROR(VLOOKUP(VLOOKUP(IFERROR(LEFT(playground!I106,SEARCH("|",playground!I106,1)-1),""),$C:$D,2,FALSE)&amp;RIGHT(playground!I106,4),expense!$A:$G,$F$2,FALSE),0)</f>
        <v>0</v>
      </c>
      <c r="I93" s="14">
        <f>IFERROR(VLOOKUP(VLOOKUP(IFERROR(LEFT(playground!J106,SEARCH("|",playground!J106,1)-1),""),$C:$D,2,FALSE)&amp;RIGHT(playground!J106,4),expense!$A:$G,$F$2,FALSE),0)</f>
        <v>0</v>
      </c>
      <c r="J93" s="14">
        <f>IFERROR(VLOOKUP(VLOOKUP(IFERROR(LEFT(playground!K106,SEARCH("|",playground!K106,1)-1),""),$C:$D,2,FALSE)&amp;RIGHT(playground!K106,4),expense!$A:$G,$F$2,FALSE),0)</f>
        <v>0</v>
      </c>
      <c r="K93" s="14">
        <f>IFERROR(VLOOKUP(VLOOKUP(IFERROR(LEFT(playground!L106,SEARCH("|",playground!L106,1)-1),""),$C:$D,2,FALSE)&amp;RIGHT(playground!L106,4),expense!$A:$G,$F$2,FALSE),0)</f>
        <v>0</v>
      </c>
      <c r="L93" s="14">
        <f>IFERROR(VLOOKUP(VLOOKUP(IFERROR(LEFT(playground!M106,SEARCH("|",playground!M106,1)-1),""),$C:$D,2,FALSE)&amp;RIGHT(playground!M106,4),expense!$A:$G,$F$2,FALSE),0)</f>
        <v>0</v>
      </c>
      <c r="M93" s="14">
        <f>IFERROR(VLOOKUP(VLOOKUP(IFERROR(LEFT(playground!N106,SEARCH("|",playground!N106,1)-1),""),$C:$D,2,FALSE)&amp;RIGHT(playground!N106,4),expense!$A:$G,$F$2,FALSE),0)</f>
        <v>0</v>
      </c>
      <c r="N93" s="14">
        <f t="shared" si="7"/>
        <v>0</v>
      </c>
    </row>
    <row r="94" spans="1:14" x14ac:dyDescent="0.25">
      <c r="A94">
        <v>93</v>
      </c>
      <c r="B94" t="str">
        <f>IF(playground!G107=0,"",playground!G107)</f>
        <v/>
      </c>
      <c r="C94" t="str">
        <f t="shared" si="4"/>
        <v/>
      </c>
      <c r="D94" t="str">
        <f t="shared" si="5"/>
        <v/>
      </c>
      <c r="E94" t="str">
        <f t="shared" si="6"/>
        <v/>
      </c>
      <c r="G94" s="14">
        <f>IFERROR(VLOOKUP(VLOOKUP(IFERROR(LEFT(playground!H107,SEARCH("|",playground!H107,1)-1),""),$C:$D,2,FALSE)&amp;RIGHT(playground!H107,4),expense!$A:$G,$F$2,FALSE),0)</f>
        <v>0</v>
      </c>
      <c r="H94" s="14">
        <f>IFERROR(VLOOKUP(VLOOKUP(IFERROR(LEFT(playground!I107,SEARCH("|",playground!I107,1)-1),""),$C:$D,2,FALSE)&amp;RIGHT(playground!I107,4),expense!$A:$G,$F$2,FALSE),0)</f>
        <v>0</v>
      </c>
      <c r="I94" s="14">
        <f>IFERROR(VLOOKUP(VLOOKUP(IFERROR(LEFT(playground!J107,SEARCH("|",playground!J107,1)-1),""),$C:$D,2,FALSE)&amp;RIGHT(playground!J107,4),expense!$A:$G,$F$2,FALSE),0)</f>
        <v>0</v>
      </c>
      <c r="J94" s="14">
        <f>IFERROR(VLOOKUP(VLOOKUP(IFERROR(LEFT(playground!K107,SEARCH("|",playground!K107,1)-1),""),$C:$D,2,FALSE)&amp;RIGHT(playground!K107,4),expense!$A:$G,$F$2,FALSE),0)</f>
        <v>0</v>
      </c>
      <c r="K94" s="14">
        <f>IFERROR(VLOOKUP(VLOOKUP(IFERROR(LEFT(playground!L107,SEARCH("|",playground!L107,1)-1),""),$C:$D,2,FALSE)&amp;RIGHT(playground!L107,4),expense!$A:$G,$F$2,FALSE),0)</f>
        <v>0</v>
      </c>
      <c r="L94" s="14">
        <f>IFERROR(VLOOKUP(VLOOKUP(IFERROR(LEFT(playground!M107,SEARCH("|",playground!M107,1)-1),""),$C:$D,2,FALSE)&amp;RIGHT(playground!M107,4),expense!$A:$G,$F$2,FALSE),0)</f>
        <v>0</v>
      </c>
      <c r="M94" s="14">
        <f>IFERROR(VLOOKUP(VLOOKUP(IFERROR(LEFT(playground!N107,SEARCH("|",playground!N107,1)-1),""),$C:$D,2,FALSE)&amp;RIGHT(playground!N107,4),expense!$A:$G,$F$2,FALSE),0)</f>
        <v>0</v>
      </c>
      <c r="N94" s="14">
        <f t="shared" si="7"/>
        <v>0</v>
      </c>
    </row>
    <row r="95" spans="1:14" x14ac:dyDescent="0.25">
      <c r="A95">
        <v>94</v>
      </c>
      <c r="B95" t="str">
        <f>IF(playground!G108=0,"",playground!G108)</f>
        <v/>
      </c>
      <c r="C95" t="str">
        <f t="shared" si="4"/>
        <v/>
      </c>
      <c r="D95" t="str">
        <f t="shared" si="5"/>
        <v/>
      </c>
      <c r="E95" t="str">
        <f t="shared" si="6"/>
        <v/>
      </c>
      <c r="G95" s="14">
        <f>IFERROR(VLOOKUP(VLOOKUP(IFERROR(LEFT(playground!H108,SEARCH("|",playground!H108,1)-1),""),$C:$D,2,FALSE)&amp;RIGHT(playground!H108,4),expense!$A:$G,$F$2,FALSE),0)</f>
        <v>0</v>
      </c>
      <c r="H95" s="14">
        <f>IFERROR(VLOOKUP(VLOOKUP(IFERROR(LEFT(playground!I108,SEARCH("|",playground!I108,1)-1),""),$C:$D,2,FALSE)&amp;RIGHT(playground!I108,4),expense!$A:$G,$F$2,FALSE),0)</f>
        <v>0</v>
      </c>
      <c r="I95" s="14">
        <f>IFERROR(VLOOKUP(VLOOKUP(IFERROR(LEFT(playground!J108,SEARCH("|",playground!J108,1)-1),""),$C:$D,2,FALSE)&amp;RIGHT(playground!J108,4),expense!$A:$G,$F$2,FALSE),0)</f>
        <v>0</v>
      </c>
      <c r="J95" s="14">
        <f>IFERROR(VLOOKUP(VLOOKUP(IFERROR(LEFT(playground!K108,SEARCH("|",playground!K108,1)-1),""),$C:$D,2,FALSE)&amp;RIGHT(playground!K108,4),expense!$A:$G,$F$2,FALSE),0)</f>
        <v>0</v>
      </c>
      <c r="K95" s="14">
        <f>IFERROR(VLOOKUP(VLOOKUP(IFERROR(LEFT(playground!L108,SEARCH("|",playground!L108,1)-1),""),$C:$D,2,FALSE)&amp;RIGHT(playground!L108,4),expense!$A:$G,$F$2,FALSE),0)</f>
        <v>0</v>
      </c>
      <c r="L95" s="14">
        <f>IFERROR(VLOOKUP(VLOOKUP(IFERROR(LEFT(playground!M108,SEARCH("|",playground!M108,1)-1),""),$C:$D,2,FALSE)&amp;RIGHT(playground!M108,4),expense!$A:$G,$F$2,FALSE),0)</f>
        <v>0</v>
      </c>
      <c r="M95" s="14">
        <f>IFERROR(VLOOKUP(VLOOKUP(IFERROR(LEFT(playground!N108,SEARCH("|",playground!N108,1)-1),""),$C:$D,2,FALSE)&amp;RIGHT(playground!N108,4),expense!$A:$G,$F$2,FALSE),0)</f>
        <v>0</v>
      </c>
      <c r="N95" s="14">
        <f t="shared" si="7"/>
        <v>0</v>
      </c>
    </row>
    <row r="96" spans="1:14" x14ac:dyDescent="0.25">
      <c r="A96">
        <v>95</v>
      </c>
      <c r="B96" t="str">
        <f>IF(playground!G109=0,"",playground!G109)</f>
        <v/>
      </c>
      <c r="C96" t="str">
        <f t="shared" si="4"/>
        <v/>
      </c>
      <c r="D96" t="str">
        <f t="shared" si="5"/>
        <v/>
      </c>
      <c r="E96" t="str">
        <f t="shared" si="6"/>
        <v/>
      </c>
      <c r="G96" s="14">
        <f>IFERROR(VLOOKUP(VLOOKUP(IFERROR(LEFT(playground!H109,SEARCH("|",playground!H109,1)-1),""),$C:$D,2,FALSE)&amp;RIGHT(playground!H109,4),expense!$A:$G,$F$2,FALSE),0)</f>
        <v>23220</v>
      </c>
      <c r="H96" s="14">
        <f>IFERROR(VLOOKUP(VLOOKUP(IFERROR(LEFT(playground!I109,SEARCH("|",playground!I109,1)-1),""),$C:$D,2,FALSE)&amp;RIGHT(playground!I109,4),expense!$A:$G,$F$2,FALSE),0)</f>
        <v>0</v>
      </c>
      <c r="I96" s="14">
        <f>IFERROR(VLOOKUP(VLOOKUP(IFERROR(LEFT(playground!J109,SEARCH("|",playground!J109,1)-1),""),$C:$D,2,FALSE)&amp;RIGHT(playground!J109,4),expense!$A:$G,$F$2,FALSE),0)</f>
        <v>0</v>
      </c>
      <c r="J96" s="14">
        <f>IFERROR(VLOOKUP(VLOOKUP(IFERROR(LEFT(playground!K109,SEARCH("|",playground!K109,1)-1),""),$C:$D,2,FALSE)&amp;RIGHT(playground!K109,4),expense!$A:$G,$F$2,FALSE),0)</f>
        <v>0</v>
      </c>
      <c r="K96" s="14">
        <f>IFERROR(VLOOKUP(VLOOKUP(IFERROR(LEFT(playground!L109,SEARCH("|",playground!L109,1)-1),""),$C:$D,2,FALSE)&amp;RIGHT(playground!L109,4),expense!$A:$G,$F$2,FALSE),0)</f>
        <v>0</v>
      </c>
      <c r="L96" s="14">
        <f>IFERROR(VLOOKUP(VLOOKUP(IFERROR(LEFT(playground!M109,SEARCH("|",playground!M109,1)-1),""),$C:$D,2,FALSE)&amp;RIGHT(playground!M109,4),expense!$A:$G,$F$2,FALSE),0)</f>
        <v>0</v>
      </c>
      <c r="M96" s="14">
        <f>IFERROR(VLOOKUP(VLOOKUP(IFERROR(LEFT(playground!N109,SEARCH("|",playground!N109,1)-1),""),$C:$D,2,FALSE)&amp;RIGHT(playground!N109,4),expense!$A:$G,$F$2,FALSE),0)</f>
        <v>0</v>
      </c>
      <c r="N96" s="14">
        <f t="shared" si="7"/>
        <v>23220</v>
      </c>
    </row>
    <row r="97" spans="1:14" x14ac:dyDescent="0.25">
      <c r="A97">
        <v>96</v>
      </c>
      <c r="B97" t="str">
        <f>IF(playground!G110=0,"",playground!G110)</f>
        <v/>
      </c>
      <c r="C97" t="str">
        <f t="shared" si="4"/>
        <v/>
      </c>
      <c r="D97" t="str">
        <f t="shared" si="5"/>
        <v/>
      </c>
      <c r="E97" t="str">
        <f t="shared" si="6"/>
        <v/>
      </c>
      <c r="G97" s="14">
        <f>IFERROR(VLOOKUP(VLOOKUP(IFERROR(LEFT(playground!H110,SEARCH("|",playground!H110,1)-1),""),$C:$D,2,FALSE)&amp;RIGHT(playground!H110,4),expense!$A:$G,$F$2,FALSE),0)</f>
        <v>0</v>
      </c>
      <c r="H97" s="14">
        <f>IFERROR(VLOOKUP(VLOOKUP(IFERROR(LEFT(playground!I110,SEARCH("|",playground!I110,1)-1),""),$C:$D,2,FALSE)&amp;RIGHT(playground!I110,4),expense!$A:$G,$F$2,FALSE),0)</f>
        <v>0</v>
      </c>
      <c r="I97" s="14">
        <f>IFERROR(VLOOKUP(VLOOKUP(IFERROR(LEFT(playground!J110,SEARCH("|",playground!J110,1)-1),""),$C:$D,2,FALSE)&amp;RIGHT(playground!J110,4),expense!$A:$G,$F$2,FALSE),0)</f>
        <v>0</v>
      </c>
      <c r="J97" s="14">
        <f>IFERROR(VLOOKUP(VLOOKUP(IFERROR(LEFT(playground!K110,SEARCH("|",playground!K110,1)-1),""),$C:$D,2,FALSE)&amp;RIGHT(playground!K110,4),expense!$A:$G,$F$2,FALSE),0)</f>
        <v>0</v>
      </c>
      <c r="K97" s="14">
        <f>IFERROR(VLOOKUP(VLOOKUP(IFERROR(LEFT(playground!L110,SEARCH("|",playground!L110,1)-1),""),$C:$D,2,FALSE)&amp;RIGHT(playground!L110,4),expense!$A:$G,$F$2,FALSE),0)</f>
        <v>0</v>
      </c>
      <c r="L97" s="14">
        <f>IFERROR(VLOOKUP(VLOOKUP(IFERROR(LEFT(playground!M110,SEARCH("|",playground!M110,1)-1),""),$C:$D,2,FALSE)&amp;RIGHT(playground!M110,4),expense!$A:$G,$F$2,FALSE),0)</f>
        <v>0</v>
      </c>
      <c r="M97" s="14">
        <f>IFERROR(VLOOKUP(VLOOKUP(IFERROR(LEFT(playground!N110,SEARCH("|",playground!N110,1)-1),""),$C:$D,2,FALSE)&amp;RIGHT(playground!N110,4),expense!$A:$G,$F$2,FALSE),0)</f>
        <v>0</v>
      </c>
      <c r="N97" s="14">
        <f t="shared" si="7"/>
        <v>0</v>
      </c>
    </row>
    <row r="98" spans="1:14" x14ac:dyDescent="0.25">
      <c r="A98">
        <v>97</v>
      </c>
      <c r="B98" t="str">
        <f>IF(playground!G111=0,"",playground!G111)</f>
        <v/>
      </c>
      <c r="C98" t="str">
        <f t="shared" si="4"/>
        <v/>
      </c>
      <c r="D98" t="str">
        <f t="shared" si="5"/>
        <v/>
      </c>
      <c r="E98" t="str">
        <f t="shared" si="6"/>
        <v/>
      </c>
      <c r="G98" s="14">
        <f>IFERROR(VLOOKUP(VLOOKUP(IFERROR(LEFT(playground!H111,SEARCH("|",playground!H111,1)-1),""),$C:$D,2,FALSE)&amp;RIGHT(playground!H111,4),expense!$A:$G,$F$2,FALSE),0)</f>
        <v>0</v>
      </c>
      <c r="H98" s="14">
        <f>IFERROR(VLOOKUP(VLOOKUP(IFERROR(LEFT(playground!I111,SEARCH("|",playground!I111,1)-1),""),$C:$D,2,FALSE)&amp;RIGHT(playground!I111,4),expense!$A:$G,$F$2,FALSE),0)</f>
        <v>0</v>
      </c>
      <c r="I98" s="14">
        <f>IFERROR(VLOOKUP(VLOOKUP(IFERROR(LEFT(playground!J111,SEARCH("|",playground!J111,1)-1),""),$C:$D,2,FALSE)&amp;RIGHT(playground!J111,4),expense!$A:$G,$F$2,FALSE),0)</f>
        <v>0</v>
      </c>
      <c r="J98" s="14">
        <f>IFERROR(VLOOKUP(VLOOKUP(IFERROR(LEFT(playground!K111,SEARCH("|",playground!K111,1)-1),""),$C:$D,2,FALSE)&amp;RIGHT(playground!K111,4),expense!$A:$G,$F$2,FALSE),0)</f>
        <v>0</v>
      </c>
      <c r="K98" s="14">
        <f>IFERROR(VLOOKUP(VLOOKUP(IFERROR(LEFT(playground!L111,SEARCH("|",playground!L111,1)-1),""),$C:$D,2,FALSE)&amp;RIGHT(playground!L111,4),expense!$A:$G,$F$2,FALSE),0)</f>
        <v>0</v>
      </c>
      <c r="L98" s="14">
        <f>IFERROR(VLOOKUP(VLOOKUP(IFERROR(LEFT(playground!M111,SEARCH("|",playground!M111,1)-1),""),$C:$D,2,FALSE)&amp;RIGHT(playground!M111,4),expense!$A:$G,$F$2,FALSE),0)</f>
        <v>0</v>
      </c>
      <c r="M98" s="14">
        <f>IFERROR(VLOOKUP(VLOOKUP(IFERROR(LEFT(playground!N111,SEARCH("|",playground!N111,1)-1),""),$C:$D,2,FALSE)&amp;RIGHT(playground!N111,4),expense!$A:$G,$F$2,FALSE),0)</f>
        <v>0</v>
      </c>
      <c r="N98" s="14">
        <f t="shared" si="7"/>
        <v>0</v>
      </c>
    </row>
    <row r="99" spans="1:14" x14ac:dyDescent="0.25">
      <c r="A99">
        <v>98</v>
      </c>
      <c r="B99" t="str">
        <f>IF(playground!G112=0,"",playground!G112)</f>
        <v/>
      </c>
      <c r="C99" t="str">
        <f t="shared" si="4"/>
        <v/>
      </c>
      <c r="D99" t="str">
        <f t="shared" si="5"/>
        <v/>
      </c>
      <c r="E99" t="str">
        <f t="shared" si="6"/>
        <v/>
      </c>
      <c r="G99" s="14">
        <f>IFERROR(VLOOKUP(VLOOKUP(IFERROR(LEFT(playground!H112,SEARCH("|",playground!H112,1)-1),""),$C:$D,2,FALSE)&amp;RIGHT(playground!H112,4),expense!$A:$G,$F$2,FALSE),0)</f>
        <v>0</v>
      </c>
      <c r="H99" s="14">
        <f>IFERROR(VLOOKUP(VLOOKUP(IFERROR(LEFT(playground!I112,SEARCH("|",playground!I112,1)-1),""),$C:$D,2,FALSE)&amp;RIGHT(playground!I112,4),expense!$A:$G,$F$2,FALSE),0)</f>
        <v>0</v>
      </c>
      <c r="I99" s="14">
        <f>IFERROR(VLOOKUP(VLOOKUP(IFERROR(LEFT(playground!J112,SEARCH("|",playground!J112,1)-1),""),$C:$D,2,FALSE)&amp;RIGHT(playground!J112,4),expense!$A:$G,$F$2,FALSE),0)</f>
        <v>0</v>
      </c>
      <c r="J99" s="14">
        <f>IFERROR(VLOOKUP(VLOOKUP(IFERROR(LEFT(playground!K112,SEARCH("|",playground!K112,1)-1),""),$C:$D,2,FALSE)&amp;RIGHT(playground!K112,4),expense!$A:$G,$F$2,FALSE),0)</f>
        <v>0</v>
      </c>
      <c r="K99" s="14">
        <f>IFERROR(VLOOKUP(VLOOKUP(IFERROR(LEFT(playground!L112,SEARCH("|",playground!L112,1)-1),""),$C:$D,2,FALSE)&amp;RIGHT(playground!L112,4),expense!$A:$G,$F$2,FALSE),0)</f>
        <v>0</v>
      </c>
      <c r="L99" s="14">
        <f>IFERROR(VLOOKUP(VLOOKUP(IFERROR(LEFT(playground!M112,SEARCH("|",playground!M112,1)-1),""),$C:$D,2,FALSE)&amp;RIGHT(playground!M112,4),expense!$A:$G,$F$2,FALSE),0)</f>
        <v>0</v>
      </c>
      <c r="M99" s="14">
        <f>IFERROR(VLOOKUP(VLOOKUP(IFERROR(LEFT(playground!N112,SEARCH("|",playground!N112,1)-1),""),$C:$D,2,FALSE)&amp;RIGHT(playground!N112,4),expense!$A:$G,$F$2,FALSE),0)</f>
        <v>0</v>
      </c>
      <c r="N99" s="14">
        <f t="shared" si="7"/>
        <v>0</v>
      </c>
    </row>
    <row r="100" spans="1:14" x14ac:dyDescent="0.25">
      <c r="A100">
        <v>99</v>
      </c>
      <c r="B100" t="str">
        <f>IF(playground!G113=0,"",playground!G113)</f>
        <v/>
      </c>
      <c r="C100" t="str">
        <f t="shared" si="4"/>
        <v/>
      </c>
      <c r="D100" t="str">
        <f t="shared" si="5"/>
        <v/>
      </c>
      <c r="E100" t="str">
        <f t="shared" si="6"/>
        <v/>
      </c>
      <c r="G100" s="14">
        <f>IFERROR(VLOOKUP(VLOOKUP(IFERROR(LEFT(playground!H113,SEARCH("|",playground!H113,1)-1),""),$C:$D,2,FALSE)&amp;RIGHT(playground!H113,4),expense!$A:$G,$F$2,FALSE),0)</f>
        <v>21600</v>
      </c>
      <c r="H100" s="14">
        <f>IFERROR(VLOOKUP(VLOOKUP(IFERROR(LEFT(playground!I113,SEARCH("|",playground!I113,1)-1),""),$C:$D,2,FALSE)&amp;RIGHT(playground!I113,4),expense!$A:$G,$F$2,FALSE),0)</f>
        <v>0</v>
      </c>
      <c r="I100" s="14">
        <f>IFERROR(VLOOKUP(VLOOKUP(IFERROR(LEFT(playground!J113,SEARCH("|",playground!J113,1)-1),""),$C:$D,2,FALSE)&amp;RIGHT(playground!J113,4),expense!$A:$G,$F$2,FALSE),0)</f>
        <v>0</v>
      </c>
      <c r="J100" s="14">
        <f>IFERROR(VLOOKUP(VLOOKUP(IFERROR(LEFT(playground!K113,SEARCH("|",playground!K113,1)-1),""),$C:$D,2,FALSE)&amp;RIGHT(playground!K113,4),expense!$A:$G,$F$2,FALSE),0)</f>
        <v>0</v>
      </c>
      <c r="K100" s="14">
        <f>IFERROR(VLOOKUP(VLOOKUP(IFERROR(LEFT(playground!L113,SEARCH("|",playground!L113,1)-1),""),$C:$D,2,FALSE)&amp;RIGHT(playground!L113,4),expense!$A:$G,$F$2,FALSE),0)</f>
        <v>0</v>
      </c>
      <c r="L100" s="14">
        <f>IFERROR(VLOOKUP(VLOOKUP(IFERROR(LEFT(playground!M113,SEARCH("|",playground!M113,1)-1),""),$C:$D,2,FALSE)&amp;RIGHT(playground!M113,4),expense!$A:$G,$F$2,FALSE),0)</f>
        <v>0</v>
      </c>
      <c r="M100" s="14">
        <f>IFERROR(VLOOKUP(VLOOKUP(IFERROR(LEFT(playground!N113,SEARCH("|",playground!N113,1)-1),""),$C:$D,2,FALSE)&amp;RIGHT(playground!N113,4),expense!$A:$G,$F$2,FALSE),0)</f>
        <v>0</v>
      </c>
      <c r="N100" s="14">
        <f t="shared" si="7"/>
        <v>21600</v>
      </c>
    </row>
    <row r="101" spans="1:14" x14ac:dyDescent="0.25">
      <c r="A101">
        <v>100</v>
      </c>
      <c r="B101" t="str">
        <f>IF(playground!G114=0,"",playground!G114)</f>
        <v/>
      </c>
      <c r="C101" t="str">
        <f t="shared" si="4"/>
        <v/>
      </c>
      <c r="D101" t="str">
        <f t="shared" si="5"/>
        <v/>
      </c>
      <c r="E101" t="str">
        <f t="shared" si="6"/>
        <v/>
      </c>
      <c r="G101" s="14">
        <f>IFERROR(VLOOKUP(VLOOKUP(IFERROR(LEFT(playground!H114,SEARCH("|",playground!H114,1)-1),""),$C:$D,2,FALSE)&amp;RIGHT(playground!H114,4),expense!$A:$G,$F$2,FALSE),0)</f>
        <v>0</v>
      </c>
      <c r="H101" s="14">
        <f>IFERROR(VLOOKUP(VLOOKUP(IFERROR(LEFT(playground!I114,SEARCH("|",playground!I114,1)-1),""),$C:$D,2,FALSE)&amp;RIGHT(playground!I114,4),expense!$A:$G,$F$2,FALSE),0)</f>
        <v>0</v>
      </c>
      <c r="I101" s="14">
        <f>IFERROR(VLOOKUP(VLOOKUP(IFERROR(LEFT(playground!J114,SEARCH("|",playground!J114,1)-1),""),$C:$D,2,FALSE)&amp;RIGHT(playground!J114,4),expense!$A:$G,$F$2,FALSE),0)</f>
        <v>0</v>
      </c>
      <c r="J101" s="14">
        <f>IFERROR(VLOOKUP(VLOOKUP(IFERROR(LEFT(playground!K114,SEARCH("|",playground!K114,1)-1),""),$C:$D,2,FALSE)&amp;RIGHT(playground!K114,4),expense!$A:$G,$F$2,FALSE),0)</f>
        <v>0</v>
      </c>
      <c r="K101" s="14">
        <f>IFERROR(VLOOKUP(VLOOKUP(IFERROR(LEFT(playground!L114,SEARCH("|",playground!L114,1)-1),""),$C:$D,2,FALSE)&amp;RIGHT(playground!L114,4),expense!$A:$G,$F$2,FALSE),0)</f>
        <v>0</v>
      </c>
      <c r="L101" s="14">
        <f>IFERROR(VLOOKUP(VLOOKUP(IFERROR(LEFT(playground!M114,SEARCH("|",playground!M114,1)-1),""),$C:$D,2,FALSE)&amp;RIGHT(playground!M114,4),expense!$A:$G,$F$2,FALSE),0)</f>
        <v>0</v>
      </c>
      <c r="M101" s="14">
        <f>IFERROR(VLOOKUP(VLOOKUP(IFERROR(LEFT(playground!N114,SEARCH("|",playground!N114,1)-1),""),$C:$D,2,FALSE)&amp;RIGHT(playground!N114,4),expense!$A:$G,$F$2,FALSE),0)</f>
        <v>0</v>
      </c>
      <c r="N101" s="14">
        <f t="shared" si="7"/>
        <v>0</v>
      </c>
    </row>
    <row r="102" spans="1:14" x14ac:dyDescent="0.25">
      <c r="A102">
        <v>101</v>
      </c>
      <c r="B102" t="str">
        <f>IF(playground!G115=0,"",playground!G115)</f>
        <v/>
      </c>
      <c r="C102" t="str">
        <f t="shared" si="4"/>
        <v/>
      </c>
      <c r="D102" t="str">
        <f t="shared" si="5"/>
        <v/>
      </c>
      <c r="E102" t="str">
        <f t="shared" si="6"/>
        <v/>
      </c>
      <c r="G102" s="14">
        <f>IFERROR(VLOOKUP(VLOOKUP(IFERROR(LEFT(playground!H115,SEARCH("|",playground!H115,1)-1),""),$C:$D,2,FALSE)&amp;RIGHT(playground!H115,4),expense!$A:$G,$F$2,FALSE),0)</f>
        <v>0</v>
      </c>
      <c r="H102" s="14">
        <f>IFERROR(VLOOKUP(VLOOKUP(IFERROR(LEFT(playground!I115,SEARCH("|",playground!I115,1)-1),""),$C:$D,2,FALSE)&amp;RIGHT(playground!I115,4),expense!$A:$G,$F$2,FALSE),0)</f>
        <v>0</v>
      </c>
      <c r="I102" s="14">
        <f>IFERROR(VLOOKUP(VLOOKUP(IFERROR(LEFT(playground!J115,SEARCH("|",playground!J115,1)-1),""),$C:$D,2,FALSE)&amp;RIGHT(playground!J115,4),expense!$A:$G,$F$2,FALSE),0)</f>
        <v>0</v>
      </c>
      <c r="J102" s="14">
        <f>IFERROR(VLOOKUP(VLOOKUP(IFERROR(LEFT(playground!K115,SEARCH("|",playground!K115,1)-1),""),$C:$D,2,FALSE)&amp;RIGHT(playground!K115,4),expense!$A:$G,$F$2,FALSE),0)</f>
        <v>0</v>
      </c>
      <c r="K102" s="14">
        <f>IFERROR(VLOOKUP(VLOOKUP(IFERROR(LEFT(playground!L115,SEARCH("|",playground!L115,1)-1),""),$C:$D,2,FALSE)&amp;RIGHT(playground!L115,4),expense!$A:$G,$F$2,FALSE),0)</f>
        <v>0</v>
      </c>
      <c r="L102" s="14">
        <f>IFERROR(VLOOKUP(VLOOKUP(IFERROR(LEFT(playground!M115,SEARCH("|",playground!M115,1)-1),""),$C:$D,2,FALSE)&amp;RIGHT(playground!M115,4),expense!$A:$G,$F$2,FALSE),0)</f>
        <v>0</v>
      </c>
      <c r="M102" s="14">
        <f>IFERROR(VLOOKUP(VLOOKUP(IFERROR(LEFT(playground!N115,SEARCH("|",playground!N115,1)-1),""),$C:$D,2,FALSE)&amp;RIGHT(playground!N115,4),expense!$A:$G,$F$2,FALSE),0)</f>
        <v>0</v>
      </c>
      <c r="N102" s="14">
        <f t="shared" si="7"/>
        <v>0</v>
      </c>
    </row>
    <row r="103" spans="1:14" x14ac:dyDescent="0.25">
      <c r="A103">
        <v>102</v>
      </c>
      <c r="B103" t="str">
        <f>IF(playground!G116=0,"",playground!G116)</f>
        <v/>
      </c>
      <c r="C103" t="str">
        <f t="shared" si="4"/>
        <v/>
      </c>
      <c r="D103" t="str">
        <f t="shared" si="5"/>
        <v/>
      </c>
      <c r="E103" t="str">
        <f t="shared" si="6"/>
        <v/>
      </c>
      <c r="G103" s="14">
        <f>IFERROR(VLOOKUP(VLOOKUP(IFERROR(LEFT(playground!H116,SEARCH("|",playground!H116,1)-1),""),$C:$D,2,FALSE)&amp;RIGHT(playground!H116,4),expense!$A:$G,$F$2,FALSE),0)</f>
        <v>0</v>
      </c>
      <c r="H103" s="14">
        <f>IFERROR(VLOOKUP(VLOOKUP(IFERROR(LEFT(playground!I116,SEARCH("|",playground!I116,1)-1),""),$C:$D,2,FALSE)&amp;RIGHT(playground!I116,4),expense!$A:$G,$F$2,FALSE),0)</f>
        <v>0</v>
      </c>
      <c r="I103" s="14">
        <f>IFERROR(VLOOKUP(VLOOKUP(IFERROR(LEFT(playground!J116,SEARCH("|",playground!J116,1)-1),""),$C:$D,2,FALSE)&amp;RIGHT(playground!J116,4),expense!$A:$G,$F$2,FALSE),0)</f>
        <v>0</v>
      </c>
      <c r="J103" s="14">
        <f>IFERROR(VLOOKUP(VLOOKUP(IFERROR(LEFT(playground!K116,SEARCH("|",playground!K116,1)-1),""),$C:$D,2,FALSE)&amp;RIGHT(playground!K116,4),expense!$A:$G,$F$2,FALSE),0)</f>
        <v>0</v>
      </c>
      <c r="K103" s="14">
        <f>IFERROR(VLOOKUP(VLOOKUP(IFERROR(LEFT(playground!L116,SEARCH("|",playground!L116,1)-1),""),$C:$D,2,FALSE)&amp;RIGHT(playground!L116,4),expense!$A:$G,$F$2,FALSE),0)</f>
        <v>0</v>
      </c>
      <c r="L103" s="14">
        <f>IFERROR(VLOOKUP(VLOOKUP(IFERROR(LEFT(playground!M116,SEARCH("|",playground!M116,1)-1),""),$C:$D,2,FALSE)&amp;RIGHT(playground!M116,4),expense!$A:$G,$F$2,FALSE),0)</f>
        <v>0</v>
      </c>
      <c r="M103" s="14">
        <f>IFERROR(VLOOKUP(VLOOKUP(IFERROR(LEFT(playground!N116,SEARCH("|",playground!N116,1)-1),""),$C:$D,2,FALSE)&amp;RIGHT(playground!N116,4),expense!$A:$G,$F$2,FALSE),0)</f>
        <v>0</v>
      </c>
      <c r="N103" s="14">
        <f t="shared" si="7"/>
        <v>0</v>
      </c>
    </row>
    <row r="104" spans="1:14" x14ac:dyDescent="0.25">
      <c r="A104">
        <v>103</v>
      </c>
      <c r="B104" t="str">
        <f>IF(playground!G117=0,"",playground!G117)</f>
        <v/>
      </c>
      <c r="C104" t="str">
        <f t="shared" si="4"/>
        <v/>
      </c>
      <c r="D104" t="str">
        <f t="shared" si="5"/>
        <v/>
      </c>
      <c r="E104" t="str">
        <f t="shared" si="6"/>
        <v/>
      </c>
      <c r="G104" s="14">
        <f>IFERROR(VLOOKUP(VLOOKUP(IFERROR(LEFT(playground!H117,SEARCH("|",playground!H117,1)-1),""),$C:$D,2,FALSE)&amp;RIGHT(playground!H117,4),expense!$A:$G,$F$2,FALSE),0)</f>
        <v>0</v>
      </c>
      <c r="H104" s="14">
        <f>IFERROR(VLOOKUP(VLOOKUP(IFERROR(LEFT(playground!I117,SEARCH("|",playground!I117,1)-1),""),$C:$D,2,FALSE)&amp;RIGHT(playground!I117,4),expense!$A:$G,$F$2,FALSE),0)</f>
        <v>0</v>
      </c>
      <c r="I104" s="14">
        <f>IFERROR(VLOOKUP(VLOOKUP(IFERROR(LEFT(playground!J117,SEARCH("|",playground!J117,1)-1),""),$C:$D,2,FALSE)&amp;RIGHT(playground!J117,4),expense!$A:$G,$F$2,FALSE),0)</f>
        <v>0</v>
      </c>
      <c r="J104" s="14">
        <f>IFERROR(VLOOKUP(VLOOKUP(IFERROR(LEFT(playground!K117,SEARCH("|",playground!K117,1)-1),""),$C:$D,2,FALSE)&amp;RIGHT(playground!K117,4),expense!$A:$G,$F$2,FALSE),0)</f>
        <v>0</v>
      </c>
      <c r="K104" s="14">
        <f>IFERROR(VLOOKUP(VLOOKUP(IFERROR(LEFT(playground!L117,SEARCH("|",playground!L117,1)-1),""),$C:$D,2,FALSE)&amp;RIGHT(playground!L117,4),expense!$A:$G,$F$2,FALSE),0)</f>
        <v>0</v>
      </c>
      <c r="L104" s="14">
        <f>IFERROR(VLOOKUP(VLOOKUP(IFERROR(LEFT(playground!M117,SEARCH("|",playground!M117,1)-1),""),$C:$D,2,FALSE)&amp;RIGHT(playground!M117,4),expense!$A:$G,$F$2,FALSE),0)</f>
        <v>0</v>
      </c>
      <c r="M104" s="14">
        <f>IFERROR(VLOOKUP(VLOOKUP(IFERROR(LEFT(playground!N117,SEARCH("|",playground!N117,1)-1),""),$C:$D,2,FALSE)&amp;RIGHT(playground!N117,4),expense!$A:$G,$F$2,FALSE),0)</f>
        <v>0</v>
      </c>
      <c r="N104" s="14">
        <f t="shared" si="7"/>
        <v>0</v>
      </c>
    </row>
    <row r="105" spans="1:14" x14ac:dyDescent="0.25">
      <c r="A105">
        <v>104</v>
      </c>
      <c r="B105" t="str">
        <f>IF(playground!G118=0,"",playground!G118)</f>
        <v/>
      </c>
      <c r="C105" t="str">
        <f t="shared" si="4"/>
        <v/>
      </c>
      <c r="D105" t="str">
        <f t="shared" si="5"/>
        <v/>
      </c>
      <c r="E105" t="str">
        <f t="shared" si="6"/>
        <v/>
      </c>
      <c r="G105" s="14">
        <f>IFERROR(VLOOKUP(VLOOKUP(IFERROR(LEFT(playground!H118,SEARCH("|",playground!H118,1)-1),""),$C:$D,2,FALSE)&amp;RIGHT(playground!H118,4),expense!$A:$G,$F$2,FALSE),0)</f>
        <v>0</v>
      </c>
      <c r="H105" s="14">
        <f>IFERROR(VLOOKUP(VLOOKUP(IFERROR(LEFT(playground!I118,SEARCH("|",playground!I118,1)-1),""),$C:$D,2,FALSE)&amp;RIGHT(playground!I118,4),expense!$A:$G,$F$2,FALSE),0)</f>
        <v>0</v>
      </c>
      <c r="I105" s="14">
        <f>IFERROR(VLOOKUP(VLOOKUP(IFERROR(LEFT(playground!J118,SEARCH("|",playground!J118,1)-1),""),$C:$D,2,FALSE)&amp;RIGHT(playground!J118,4),expense!$A:$G,$F$2,FALSE),0)</f>
        <v>0</v>
      </c>
      <c r="J105" s="14">
        <f>IFERROR(VLOOKUP(VLOOKUP(IFERROR(LEFT(playground!K118,SEARCH("|",playground!K118,1)-1),""),$C:$D,2,FALSE)&amp;RIGHT(playground!K118,4),expense!$A:$G,$F$2,FALSE),0)</f>
        <v>0</v>
      </c>
      <c r="K105" s="14">
        <f>IFERROR(VLOOKUP(VLOOKUP(IFERROR(LEFT(playground!L118,SEARCH("|",playground!L118,1)-1),""),$C:$D,2,FALSE)&amp;RIGHT(playground!L118,4),expense!$A:$G,$F$2,FALSE),0)</f>
        <v>0</v>
      </c>
      <c r="L105" s="14">
        <f>IFERROR(VLOOKUP(VLOOKUP(IFERROR(LEFT(playground!M118,SEARCH("|",playground!M118,1)-1),""),$C:$D,2,FALSE)&amp;RIGHT(playground!M118,4),expense!$A:$G,$F$2,FALSE),0)</f>
        <v>0</v>
      </c>
      <c r="M105" s="14">
        <f>IFERROR(VLOOKUP(VLOOKUP(IFERROR(LEFT(playground!N118,SEARCH("|",playground!N118,1)-1),""),$C:$D,2,FALSE)&amp;RIGHT(playground!N118,4),expense!$A:$G,$F$2,FALSE),0)</f>
        <v>0</v>
      </c>
      <c r="N105" s="14">
        <f t="shared" si="7"/>
        <v>0</v>
      </c>
    </row>
    <row r="106" spans="1:14" x14ac:dyDescent="0.25">
      <c r="A106">
        <v>105</v>
      </c>
      <c r="B106" t="str">
        <f>IF(playground!G119=0,"",playground!G119)</f>
        <v/>
      </c>
      <c r="C106" t="str">
        <f t="shared" si="4"/>
        <v/>
      </c>
      <c r="D106" t="str">
        <f t="shared" si="5"/>
        <v/>
      </c>
      <c r="E106" t="str">
        <f t="shared" si="6"/>
        <v/>
      </c>
      <c r="G106" s="14">
        <f>IFERROR(VLOOKUP(VLOOKUP(IFERROR(LEFT(playground!H119,SEARCH("|",playground!H119,1)-1),""),$C:$D,2,FALSE)&amp;RIGHT(playground!H119,4),expense!$A:$G,$F$2,FALSE),0)</f>
        <v>0</v>
      </c>
      <c r="H106" s="14">
        <f>IFERROR(VLOOKUP(VLOOKUP(IFERROR(LEFT(playground!I119,SEARCH("|",playground!I119,1)-1),""),$C:$D,2,FALSE)&amp;RIGHT(playground!I119,4),expense!$A:$G,$F$2,FALSE),0)</f>
        <v>0</v>
      </c>
      <c r="I106" s="14">
        <f>IFERROR(VLOOKUP(VLOOKUP(IFERROR(LEFT(playground!J119,SEARCH("|",playground!J119,1)-1),""),$C:$D,2,FALSE)&amp;RIGHT(playground!J119,4),expense!$A:$G,$F$2,FALSE),0)</f>
        <v>0</v>
      </c>
      <c r="J106" s="14">
        <f>IFERROR(VLOOKUP(VLOOKUP(IFERROR(LEFT(playground!K119,SEARCH("|",playground!K119,1)-1),""),$C:$D,2,FALSE)&amp;RIGHT(playground!K119,4),expense!$A:$G,$F$2,FALSE),0)</f>
        <v>0</v>
      </c>
      <c r="K106" s="14">
        <f>IFERROR(VLOOKUP(VLOOKUP(IFERROR(LEFT(playground!L119,SEARCH("|",playground!L119,1)-1),""),$C:$D,2,FALSE)&amp;RIGHT(playground!L119,4),expense!$A:$G,$F$2,FALSE),0)</f>
        <v>0</v>
      </c>
      <c r="L106" s="14">
        <f>IFERROR(VLOOKUP(VLOOKUP(IFERROR(LEFT(playground!M119,SEARCH("|",playground!M119,1)-1),""),$C:$D,2,FALSE)&amp;RIGHT(playground!M119,4),expense!$A:$G,$F$2,FALSE),0)</f>
        <v>0</v>
      </c>
      <c r="M106" s="14">
        <f>IFERROR(VLOOKUP(VLOOKUP(IFERROR(LEFT(playground!N119,SEARCH("|",playground!N119,1)-1),""),$C:$D,2,FALSE)&amp;RIGHT(playground!N119,4),expense!$A:$G,$F$2,FALSE),0)</f>
        <v>0</v>
      </c>
      <c r="N106" s="14">
        <f t="shared" si="7"/>
        <v>0</v>
      </c>
    </row>
    <row r="107" spans="1:14" x14ac:dyDescent="0.25">
      <c r="A107">
        <v>106</v>
      </c>
      <c r="B107" t="str">
        <f>IF(playground!G120=0,"",playground!G120)</f>
        <v/>
      </c>
      <c r="C107" t="str">
        <f t="shared" si="4"/>
        <v/>
      </c>
      <c r="D107" t="str">
        <f t="shared" si="5"/>
        <v/>
      </c>
      <c r="E107" t="str">
        <f t="shared" si="6"/>
        <v/>
      </c>
      <c r="G107" s="14">
        <f>IFERROR(VLOOKUP(VLOOKUP(IFERROR(LEFT(playground!H120,SEARCH("|",playground!H120,1)-1),""),$C:$D,2,FALSE)&amp;RIGHT(playground!H120,4),expense!$A:$G,$F$2,FALSE),0)</f>
        <v>0</v>
      </c>
      <c r="H107" s="14">
        <f>IFERROR(VLOOKUP(VLOOKUP(IFERROR(LEFT(playground!I120,SEARCH("|",playground!I120,1)-1),""),$C:$D,2,FALSE)&amp;RIGHT(playground!I120,4),expense!$A:$G,$F$2,FALSE),0)</f>
        <v>0</v>
      </c>
      <c r="I107" s="14">
        <f>IFERROR(VLOOKUP(VLOOKUP(IFERROR(LEFT(playground!J120,SEARCH("|",playground!J120,1)-1),""),$C:$D,2,FALSE)&amp;RIGHT(playground!J120,4),expense!$A:$G,$F$2,FALSE),0)</f>
        <v>0</v>
      </c>
      <c r="J107" s="14">
        <f>IFERROR(VLOOKUP(VLOOKUP(IFERROR(LEFT(playground!K120,SEARCH("|",playground!K120,1)-1),""),$C:$D,2,FALSE)&amp;RIGHT(playground!K120,4),expense!$A:$G,$F$2,FALSE),0)</f>
        <v>0</v>
      </c>
      <c r="K107" s="14">
        <f>IFERROR(VLOOKUP(VLOOKUP(IFERROR(LEFT(playground!L120,SEARCH("|",playground!L120,1)-1),""),$C:$D,2,FALSE)&amp;RIGHT(playground!L120,4),expense!$A:$G,$F$2,FALSE),0)</f>
        <v>0</v>
      </c>
      <c r="L107" s="14">
        <f>IFERROR(VLOOKUP(VLOOKUP(IFERROR(LEFT(playground!M120,SEARCH("|",playground!M120,1)-1),""),$C:$D,2,FALSE)&amp;RIGHT(playground!M120,4),expense!$A:$G,$F$2,FALSE),0)</f>
        <v>0</v>
      </c>
      <c r="M107" s="14">
        <f>IFERROR(VLOOKUP(VLOOKUP(IFERROR(LEFT(playground!N120,SEARCH("|",playground!N120,1)-1),""),$C:$D,2,FALSE)&amp;RIGHT(playground!N120,4),expense!$A:$G,$F$2,FALSE),0)</f>
        <v>0</v>
      </c>
      <c r="N107" s="14">
        <f t="shared" si="7"/>
        <v>0</v>
      </c>
    </row>
    <row r="108" spans="1:14" x14ac:dyDescent="0.25">
      <c r="A108">
        <v>107</v>
      </c>
      <c r="B108" t="str">
        <f>IF(playground!G121=0,"",playground!G121)</f>
        <v/>
      </c>
      <c r="C108" t="str">
        <f t="shared" si="4"/>
        <v/>
      </c>
      <c r="D108" t="str">
        <f t="shared" si="5"/>
        <v/>
      </c>
      <c r="E108" t="str">
        <f t="shared" si="6"/>
        <v/>
      </c>
      <c r="G108" s="14">
        <f>IFERROR(VLOOKUP(VLOOKUP(IFERROR(LEFT(playground!H121,SEARCH("|",playground!H121,1)-1),""),$C:$D,2,FALSE)&amp;RIGHT(playground!H121,4),expense!$A:$G,$F$2,FALSE),0)</f>
        <v>0</v>
      </c>
      <c r="H108" s="14">
        <f>IFERROR(VLOOKUP(VLOOKUP(IFERROR(LEFT(playground!I121,SEARCH("|",playground!I121,1)-1),""),$C:$D,2,FALSE)&amp;RIGHT(playground!I121,4),expense!$A:$G,$F$2,FALSE),0)</f>
        <v>0</v>
      </c>
      <c r="I108" s="14">
        <f>IFERROR(VLOOKUP(VLOOKUP(IFERROR(LEFT(playground!J121,SEARCH("|",playground!J121,1)-1),""),$C:$D,2,FALSE)&amp;RIGHT(playground!J121,4),expense!$A:$G,$F$2,FALSE),0)</f>
        <v>0</v>
      </c>
      <c r="J108" s="14">
        <f>IFERROR(VLOOKUP(VLOOKUP(IFERROR(LEFT(playground!K121,SEARCH("|",playground!K121,1)-1),""),$C:$D,2,FALSE)&amp;RIGHT(playground!K121,4),expense!$A:$G,$F$2,FALSE),0)</f>
        <v>0</v>
      </c>
      <c r="K108" s="14">
        <f>IFERROR(VLOOKUP(VLOOKUP(IFERROR(LEFT(playground!L121,SEARCH("|",playground!L121,1)-1),""),$C:$D,2,FALSE)&amp;RIGHT(playground!L121,4),expense!$A:$G,$F$2,FALSE),0)</f>
        <v>0</v>
      </c>
      <c r="L108" s="14">
        <f>IFERROR(VLOOKUP(VLOOKUP(IFERROR(LEFT(playground!M121,SEARCH("|",playground!M121,1)-1),""),$C:$D,2,FALSE)&amp;RIGHT(playground!M121,4),expense!$A:$G,$F$2,FALSE),0)</f>
        <v>0</v>
      </c>
      <c r="M108" s="14">
        <f>IFERROR(VLOOKUP(VLOOKUP(IFERROR(LEFT(playground!N121,SEARCH("|",playground!N121,1)-1),""),$C:$D,2,FALSE)&amp;RIGHT(playground!N121,4),expense!$A:$G,$F$2,FALSE),0)</f>
        <v>0</v>
      </c>
      <c r="N108" s="14">
        <f t="shared" si="7"/>
        <v>0</v>
      </c>
    </row>
    <row r="109" spans="1:14" x14ac:dyDescent="0.25">
      <c r="A109">
        <v>108</v>
      </c>
      <c r="B109" t="str">
        <f>IF(playground!G122=0,"",playground!G122)</f>
        <v/>
      </c>
      <c r="C109" t="str">
        <f t="shared" si="4"/>
        <v/>
      </c>
      <c r="D109" t="str">
        <f t="shared" si="5"/>
        <v/>
      </c>
      <c r="E109" t="str">
        <f t="shared" si="6"/>
        <v/>
      </c>
      <c r="G109" s="14">
        <f>IFERROR(VLOOKUP(VLOOKUP(IFERROR(LEFT(playground!H122,SEARCH("|",playground!H122,1)-1),""),$C:$D,2,FALSE)&amp;RIGHT(playground!H122,4),expense!$A:$G,$F$2,FALSE),0)</f>
        <v>0</v>
      </c>
      <c r="H109" s="14">
        <f>IFERROR(VLOOKUP(VLOOKUP(IFERROR(LEFT(playground!I122,SEARCH("|",playground!I122,1)-1),""),$C:$D,2,FALSE)&amp;RIGHT(playground!I122,4),expense!$A:$G,$F$2,FALSE),0)</f>
        <v>0</v>
      </c>
      <c r="I109" s="14">
        <f>IFERROR(VLOOKUP(VLOOKUP(IFERROR(LEFT(playground!J122,SEARCH("|",playground!J122,1)-1),""),$C:$D,2,FALSE)&amp;RIGHT(playground!J122,4),expense!$A:$G,$F$2,FALSE),0)</f>
        <v>0</v>
      </c>
      <c r="J109" s="14">
        <f>IFERROR(VLOOKUP(VLOOKUP(IFERROR(LEFT(playground!K122,SEARCH("|",playground!K122,1)-1),""),$C:$D,2,FALSE)&amp;RIGHT(playground!K122,4),expense!$A:$G,$F$2,FALSE),0)</f>
        <v>0</v>
      </c>
      <c r="K109" s="14">
        <f>IFERROR(VLOOKUP(VLOOKUP(IFERROR(LEFT(playground!L122,SEARCH("|",playground!L122,1)-1),""),$C:$D,2,FALSE)&amp;RIGHT(playground!L122,4),expense!$A:$G,$F$2,FALSE),0)</f>
        <v>0</v>
      </c>
      <c r="L109" s="14">
        <f>IFERROR(VLOOKUP(VLOOKUP(IFERROR(LEFT(playground!M122,SEARCH("|",playground!M122,1)-1),""),$C:$D,2,FALSE)&amp;RIGHT(playground!M122,4),expense!$A:$G,$F$2,FALSE),0)</f>
        <v>0</v>
      </c>
      <c r="M109" s="14">
        <f>IFERROR(VLOOKUP(VLOOKUP(IFERROR(LEFT(playground!N122,SEARCH("|",playground!N122,1)-1),""),$C:$D,2,FALSE)&amp;RIGHT(playground!N122,4),expense!$A:$G,$F$2,FALSE),0)</f>
        <v>0</v>
      </c>
      <c r="N109" s="14">
        <f t="shared" si="7"/>
        <v>0</v>
      </c>
    </row>
    <row r="110" spans="1:14" x14ac:dyDescent="0.25">
      <c r="A110">
        <v>109</v>
      </c>
      <c r="B110" t="str">
        <f>IF(playground!G123=0,"",playground!G123)</f>
        <v/>
      </c>
      <c r="C110" t="str">
        <f t="shared" si="4"/>
        <v/>
      </c>
      <c r="D110" t="str">
        <f t="shared" si="5"/>
        <v/>
      </c>
      <c r="E110" t="str">
        <f t="shared" si="6"/>
        <v/>
      </c>
      <c r="G110" s="14">
        <f>IFERROR(VLOOKUP(VLOOKUP(IFERROR(LEFT(playground!H123,SEARCH("|",playground!H123,1)-1),""),$C:$D,2,FALSE)&amp;RIGHT(playground!H123,4),expense!$A:$G,$F$2,FALSE),0)</f>
        <v>0</v>
      </c>
      <c r="H110" s="14">
        <f>IFERROR(VLOOKUP(VLOOKUP(IFERROR(LEFT(playground!I123,SEARCH("|",playground!I123,1)-1),""),$C:$D,2,FALSE)&amp;RIGHT(playground!I123,4),expense!$A:$G,$F$2,FALSE),0)</f>
        <v>0</v>
      </c>
      <c r="I110" s="14">
        <f>IFERROR(VLOOKUP(VLOOKUP(IFERROR(LEFT(playground!J123,SEARCH("|",playground!J123,1)-1),""),$C:$D,2,FALSE)&amp;RIGHT(playground!J123,4),expense!$A:$G,$F$2,FALSE),0)</f>
        <v>0</v>
      </c>
      <c r="J110" s="14">
        <f>IFERROR(VLOOKUP(VLOOKUP(IFERROR(LEFT(playground!K123,SEARCH("|",playground!K123,1)-1),""),$C:$D,2,FALSE)&amp;RIGHT(playground!K123,4),expense!$A:$G,$F$2,FALSE),0)</f>
        <v>0</v>
      </c>
      <c r="K110" s="14">
        <f>IFERROR(VLOOKUP(VLOOKUP(IFERROR(LEFT(playground!L123,SEARCH("|",playground!L123,1)-1),""),$C:$D,2,FALSE)&amp;RIGHT(playground!L123,4),expense!$A:$G,$F$2,FALSE),0)</f>
        <v>0</v>
      </c>
      <c r="L110" s="14">
        <f>IFERROR(VLOOKUP(VLOOKUP(IFERROR(LEFT(playground!M123,SEARCH("|",playground!M123,1)-1),""),$C:$D,2,FALSE)&amp;RIGHT(playground!M123,4),expense!$A:$G,$F$2,FALSE),0)</f>
        <v>0</v>
      </c>
      <c r="M110" s="14">
        <f>IFERROR(VLOOKUP(VLOOKUP(IFERROR(LEFT(playground!N123,SEARCH("|",playground!N123,1)-1),""),$C:$D,2,FALSE)&amp;RIGHT(playground!N123,4),expense!$A:$G,$F$2,FALSE),0)</f>
        <v>0</v>
      </c>
      <c r="N110" s="14">
        <f t="shared" si="7"/>
        <v>0</v>
      </c>
    </row>
    <row r="111" spans="1:14" x14ac:dyDescent="0.25">
      <c r="A111">
        <v>110</v>
      </c>
      <c r="B111" t="str">
        <f>IF(playground!G124=0,"",playground!G124)</f>
        <v/>
      </c>
      <c r="C111" t="str">
        <f t="shared" si="4"/>
        <v/>
      </c>
      <c r="D111" t="str">
        <f t="shared" si="5"/>
        <v/>
      </c>
      <c r="E111" t="str">
        <f t="shared" si="6"/>
        <v/>
      </c>
      <c r="G111" s="14">
        <f>IFERROR(VLOOKUP(VLOOKUP(IFERROR(LEFT(playground!H124,SEARCH("|",playground!H124,1)-1),""),$C:$D,2,FALSE)&amp;RIGHT(playground!H124,4),expense!$A:$G,$F$2,FALSE),0)</f>
        <v>0</v>
      </c>
      <c r="H111" s="14">
        <f>IFERROR(VLOOKUP(VLOOKUP(IFERROR(LEFT(playground!I124,SEARCH("|",playground!I124,1)-1),""),$C:$D,2,FALSE)&amp;RIGHT(playground!I124,4),expense!$A:$G,$F$2,FALSE),0)</f>
        <v>0</v>
      </c>
      <c r="I111" s="14">
        <f>IFERROR(VLOOKUP(VLOOKUP(IFERROR(LEFT(playground!J124,SEARCH("|",playground!J124,1)-1),""),$C:$D,2,FALSE)&amp;RIGHT(playground!J124,4),expense!$A:$G,$F$2,FALSE),0)</f>
        <v>0</v>
      </c>
      <c r="J111" s="14">
        <f>IFERROR(VLOOKUP(VLOOKUP(IFERROR(LEFT(playground!K124,SEARCH("|",playground!K124,1)-1),""),$C:$D,2,FALSE)&amp;RIGHT(playground!K124,4),expense!$A:$G,$F$2,FALSE),0)</f>
        <v>0</v>
      </c>
      <c r="K111" s="14">
        <f>IFERROR(VLOOKUP(VLOOKUP(IFERROR(LEFT(playground!L124,SEARCH("|",playground!L124,1)-1),""),$C:$D,2,FALSE)&amp;RIGHT(playground!L124,4),expense!$A:$G,$F$2,FALSE),0)</f>
        <v>0</v>
      </c>
      <c r="L111" s="14">
        <f>IFERROR(VLOOKUP(VLOOKUP(IFERROR(LEFT(playground!M124,SEARCH("|",playground!M124,1)-1),""),$C:$D,2,FALSE)&amp;RIGHT(playground!M124,4),expense!$A:$G,$F$2,FALSE),0)</f>
        <v>0</v>
      </c>
      <c r="M111" s="14">
        <f>IFERROR(VLOOKUP(VLOOKUP(IFERROR(LEFT(playground!N124,SEARCH("|",playground!N124,1)-1),""),$C:$D,2,FALSE)&amp;RIGHT(playground!N124,4),expense!$A:$G,$F$2,FALSE),0)</f>
        <v>0</v>
      </c>
      <c r="N111" s="14">
        <f t="shared" si="7"/>
        <v>0</v>
      </c>
    </row>
    <row r="112" spans="1:14" x14ac:dyDescent="0.25">
      <c r="A112">
        <v>111</v>
      </c>
      <c r="B112" t="str">
        <f>IF(playground!G125=0,"",playground!G125)</f>
        <v/>
      </c>
      <c r="C112" t="str">
        <f t="shared" si="4"/>
        <v/>
      </c>
      <c r="D112" t="str">
        <f t="shared" si="5"/>
        <v/>
      </c>
      <c r="E112" t="str">
        <f t="shared" si="6"/>
        <v/>
      </c>
      <c r="G112" s="14">
        <f>IFERROR(VLOOKUP(VLOOKUP(IFERROR(LEFT(playground!H125,SEARCH("|",playground!H125,1)-1),""),$C:$D,2,FALSE)&amp;RIGHT(playground!H125,4),expense!$A:$G,$F$2,FALSE),0)</f>
        <v>0</v>
      </c>
      <c r="H112" s="14">
        <f>IFERROR(VLOOKUP(VLOOKUP(IFERROR(LEFT(playground!I125,SEARCH("|",playground!I125,1)-1),""),$C:$D,2,FALSE)&amp;RIGHT(playground!I125,4),expense!$A:$G,$F$2,FALSE),0)</f>
        <v>0</v>
      </c>
      <c r="I112" s="14">
        <f>IFERROR(VLOOKUP(VLOOKUP(IFERROR(LEFT(playground!J125,SEARCH("|",playground!J125,1)-1),""),$C:$D,2,FALSE)&amp;RIGHT(playground!J125,4),expense!$A:$G,$F$2,FALSE),0)</f>
        <v>0</v>
      </c>
      <c r="J112" s="14">
        <f>IFERROR(VLOOKUP(VLOOKUP(IFERROR(LEFT(playground!K125,SEARCH("|",playground!K125,1)-1),""),$C:$D,2,FALSE)&amp;RIGHT(playground!K125,4),expense!$A:$G,$F$2,FALSE),0)</f>
        <v>0</v>
      </c>
      <c r="K112" s="14">
        <f>IFERROR(VLOOKUP(VLOOKUP(IFERROR(LEFT(playground!L125,SEARCH("|",playground!L125,1)-1),""),$C:$D,2,FALSE)&amp;RIGHT(playground!L125,4),expense!$A:$G,$F$2,FALSE),0)</f>
        <v>0</v>
      </c>
      <c r="L112" s="14">
        <f>IFERROR(VLOOKUP(VLOOKUP(IFERROR(LEFT(playground!M125,SEARCH("|",playground!M125,1)-1),""),$C:$D,2,FALSE)&amp;RIGHT(playground!M125,4),expense!$A:$G,$F$2,FALSE),0)</f>
        <v>0</v>
      </c>
      <c r="M112" s="14">
        <f>IFERROR(VLOOKUP(VLOOKUP(IFERROR(LEFT(playground!N125,SEARCH("|",playground!N125,1)-1),""),$C:$D,2,FALSE)&amp;RIGHT(playground!N125,4),expense!$A:$G,$F$2,FALSE),0)</f>
        <v>0</v>
      </c>
      <c r="N112" s="14">
        <f t="shared" si="7"/>
        <v>0</v>
      </c>
    </row>
    <row r="113" spans="1:14" x14ac:dyDescent="0.25">
      <c r="A113">
        <v>112</v>
      </c>
      <c r="B113" t="str">
        <f>IF(playground!G126=0,"",playground!G126)</f>
        <v/>
      </c>
      <c r="C113" t="str">
        <f t="shared" si="4"/>
        <v/>
      </c>
      <c r="D113" t="str">
        <f t="shared" si="5"/>
        <v/>
      </c>
      <c r="E113" t="str">
        <f t="shared" si="6"/>
        <v/>
      </c>
      <c r="G113" s="14">
        <f>IFERROR(VLOOKUP(VLOOKUP(IFERROR(LEFT(playground!H126,SEARCH("|",playground!H126,1)-1),""),$C:$D,2,FALSE)&amp;RIGHT(playground!H126,4),expense!$A:$G,$F$2,FALSE),0)</f>
        <v>0</v>
      </c>
      <c r="H113" s="14">
        <f>IFERROR(VLOOKUP(VLOOKUP(IFERROR(LEFT(playground!I126,SEARCH("|",playground!I126,1)-1),""),$C:$D,2,FALSE)&amp;RIGHT(playground!I126,4),expense!$A:$G,$F$2,FALSE),0)</f>
        <v>0</v>
      </c>
      <c r="I113" s="14">
        <f>IFERROR(VLOOKUP(VLOOKUP(IFERROR(LEFT(playground!J126,SEARCH("|",playground!J126,1)-1),""),$C:$D,2,FALSE)&amp;RIGHT(playground!J126,4),expense!$A:$G,$F$2,FALSE),0)</f>
        <v>0</v>
      </c>
      <c r="J113" s="14">
        <f>IFERROR(VLOOKUP(VLOOKUP(IFERROR(LEFT(playground!K126,SEARCH("|",playground!K126,1)-1),""),$C:$D,2,FALSE)&amp;RIGHT(playground!K126,4),expense!$A:$G,$F$2,FALSE),0)</f>
        <v>0</v>
      </c>
      <c r="K113" s="14">
        <f>IFERROR(VLOOKUP(VLOOKUP(IFERROR(LEFT(playground!L126,SEARCH("|",playground!L126,1)-1),""),$C:$D,2,FALSE)&amp;RIGHT(playground!L126,4),expense!$A:$G,$F$2,FALSE),0)</f>
        <v>0</v>
      </c>
      <c r="L113" s="14">
        <f>IFERROR(VLOOKUP(VLOOKUP(IFERROR(LEFT(playground!M126,SEARCH("|",playground!M126,1)-1),""),$C:$D,2,FALSE)&amp;RIGHT(playground!M126,4),expense!$A:$G,$F$2,FALSE),0)</f>
        <v>0</v>
      </c>
      <c r="M113" s="14">
        <f>IFERROR(VLOOKUP(VLOOKUP(IFERROR(LEFT(playground!N126,SEARCH("|",playground!N126,1)-1),""),$C:$D,2,FALSE)&amp;RIGHT(playground!N126,4),expense!$A:$G,$F$2,FALSE),0)</f>
        <v>0</v>
      </c>
      <c r="N113" s="14">
        <f t="shared" si="7"/>
        <v>0</v>
      </c>
    </row>
    <row r="114" spans="1:14" x14ac:dyDescent="0.25">
      <c r="A114">
        <v>113</v>
      </c>
      <c r="B114" t="str">
        <f>IF(playground!G127=0,"",playground!G127)</f>
        <v/>
      </c>
      <c r="C114" t="str">
        <f t="shared" si="4"/>
        <v/>
      </c>
      <c r="D114" t="str">
        <f t="shared" si="5"/>
        <v/>
      </c>
      <c r="E114" t="str">
        <f t="shared" si="6"/>
        <v/>
      </c>
      <c r="G114" s="14">
        <f>IFERROR(VLOOKUP(VLOOKUP(IFERROR(LEFT(playground!H127,SEARCH("|",playground!H127,1)-1),""),$C:$D,2,FALSE)&amp;RIGHT(playground!H127,4),expense!$A:$G,$F$2,FALSE),0)</f>
        <v>0</v>
      </c>
      <c r="H114" s="14">
        <f>IFERROR(VLOOKUP(VLOOKUP(IFERROR(LEFT(playground!I127,SEARCH("|",playground!I127,1)-1),""),$C:$D,2,FALSE)&amp;RIGHT(playground!I127,4),expense!$A:$G,$F$2,FALSE),0)</f>
        <v>0</v>
      </c>
      <c r="I114" s="14">
        <f>IFERROR(VLOOKUP(VLOOKUP(IFERROR(LEFT(playground!J127,SEARCH("|",playground!J127,1)-1),""),$C:$D,2,FALSE)&amp;RIGHT(playground!J127,4),expense!$A:$G,$F$2,FALSE),0)</f>
        <v>0</v>
      </c>
      <c r="J114" s="14">
        <f>IFERROR(VLOOKUP(VLOOKUP(IFERROR(LEFT(playground!K127,SEARCH("|",playground!K127,1)-1),""),$C:$D,2,FALSE)&amp;RIGHT(playground!K127,4),expense!$A:$G,$F$2,FALSE),0)</f>
        <v>0</v>
      </c>
      <c r="K114" s="14">
        <f>IFERROR(VLOOKUP(VLOOKUP(IFERROR(LEFT(playground!L127,SEARCH("|",playground!L127,1)-1),""),$C:$D,2,FALSE)&amp;RIGHT(playground!L127,4),expense!$A:$G,$F$2,FALSE),0)</f>
        <v>0</v>
      </c>
      <c r="L114" s="14">
        <f>IFERROR(VLOOKUP(VLOOKUP(IFERROR(LEFT(playground!M127,SEARCH("|",playground!M127,1)-1),""),$C:$D,2,FALSE)&amp;RIGHT(playground!M127,4),expense!$A:$G,$F$2,FALSE),0)</f>
        <v>0</v>
      </c>
      <c r="M114" s="14">
        <f>IFERROR(VLOOKUP(VLOOKUP(IFERROR(LEFT(playground!N127,SEARCH("|",playground!N127,1)-1),""),$C:$D,2,FALSE)&amp;RIGHT(playground!N127,4),expense!$A:$G,$F$2,FALSE),0)</f>
        <v>0</v>
      </c>
      <c r="N114" s="14">
        <f t="shared" si="7"/>
        <v>0</v>
      </c>
    </row>
    <row r="115" spans="1:14" x14ac:dyDescent="0.25">
      <c r="A115">
        <v>114</v>
      </c>
      <c r="B115" t="str">
        <f>IF(playground!G128=0,"",playground!G128)</f>
        <v/>
      </c>
      <c r="C115" t="str">
        <f t="shared" si="4"/>
        <v/>
      </c>
      <c r="D115" t="str">
        <f t="shared" si="5"/>
        <v/>
      </c>
      <c r="E115" t="str">
        <f t="shared" si="6"/>
        <v/>
      </c>
      <c r="G115" s="14">
        <f>IFERROR(VLOOKUP(VLOOKUP(IFERROR(LEFT(playground!H128,SEARCH("|",playground!H128,1)-1),""),$C:$D,2,FALSE)&amp;RIGHT(playground!H128,4),expense!$A:$G,$F$2,FALSE),0)</f>
        <v>0</v>
      </c>
      <c r="H115" s="14">
        <f>IFERROR(VLOOKUP(VLOOKUP(IFERROR(LEFT(playground!I128,SEARCH("|",playground!I128,1)-1),""),$C:$D,2,FALSE)&amp;RIGHT(playground!I128,4),expense!$A:$G,$F$2,FALSE),0)</f>
        <v>0</v>
      </c>
      <c r="I115" s="14">
        <f>IFERROR(VLOOKUP(VLOOKUP(IFERROR(LEFT(playground!J128,SEARCH("|",playground!J128,1)-1),""),$C:$D,2,FALSE)&amp;RIGHT(playground!J128,4),expense!$A:$G,$F$2,FALSE),0)</f>
        <v>0</v>
      </c>
      <c r="J115" s="14">
        <f>IFERROR(VLOOKUP(VLOOKUP(IFERROR(LEFT(playground!K128,SEARCH("|",playground!K128,1)-1),""),$C:$D,2,FALSE)&amp;RIGHT(playground!K128,4),expense!$A:$G,$F$2,FALSE),0)</f>
        <v>0</v>
      </c>
      <c r="K115" s="14">
        <f>IFERROR(VLOOKUP(VLOOKUP(IFERROR(LEFT(playground!L128,SEARCH("|",playground!L128,1)-1),""),$C:$D,2,FALSE)&amp;RIGHT(playground!L128,4),expense!$A:$G,$F$2,FALSE),0)</f>
        <v>0</v>
      </c>
      <c r="L115" s="14">
        <f>IFERROR(VLOOKUP(VLOOKUP(IFERROR(LEFT(playground!M128,SEARCH("|",playground!M128,1)-1),""),$C:$D,2,FALSE)&amp;RIGHT(playground!M128,4),expense!$A:$G,$F$2,FALSE),0)</f>
        <v>0</v>
      </c>
      <c r="M115" s="14">
        <f>IFERROR(VLOOKUP(VLOOKUP(IFERROR(LEFT(playground!N128,SEARCH("|",playground!N128,1)-1),""),$C:$D,2,FALSE)&amp;RIGHT(playground!N128,4),expense!$A:$G,$F$2,FALSE),0)</f>
        <v>0</v>
      </c>
      <c r="N115" s="14">
        <f t="shared" si="7"/>
        <v>0</v>
      </c>
    </row>
    <row r="116" spans="1:14" x14ac:dyDescent="0.25">
      <c r="A116">
        <v>115</v>
      </c>
      <c r="B116" t="str">
        <f>IF(playground!G129=0,"",playground!G129)</f>
        <v/>
      </c>
      <c r="C116" t="str">
        <f t="shared" si="4"/>
        <v/>
      </c>
      <c r="D116" t="str">
        <f t="shared" si="5"/>
        <v/>
      </c>
      <c r="E116" t="str">
        <f t="shared" si="6"/>
        <v/>
      </c>
      <c r="G116" s="14">
        <f>IFERROR(VLOOKUP(VLOOKUP(IFERROR(LEFT(playground!H129,SEARCH("|",playground!H129,1)-1),""),$C:$D,2,FALSE)&amp;RIGHT(playground!H129,4),expense!$A:$G,$F$2,FALSE),0)</f>
        <v>0</v>
      </c>
      <c r="H116" s="14">
        <f>IFERROR(VLOOKUP(VLOOKUP(IFERROR(LEFT(playground!I129,SEARCH("|",playground!I129,1)-1),""),$C:$D,2,FALSE)&amp;RIGHT(playground!I129,4),expense!$A:$G,$F$2,FALSE),0)</f>
        <v>0</v>
      </c>
      <c r="I116" s="14">
        <f>IFERROR(VLOOKUP(VLOOKUP(IFERROR(LEFT(playground!J129,SEARCH("|",playground!J129,1)-1),""),$C:$D,2,FALSE)&amp;RIGHT(playground!J129,4),expense!$A:$G,$F$2,FALSE),0)</f>
        <v>0</v>
      </c>
      <c r="J116" s="14">
        <f>IFERROR(VLOOKUP(VLOOKUP(IFERROR(LEFT(playground!K129,SEARCH("|",playground!K129,1)-1),""),$C:$D,2,FALSE)&amp;RIGHT(playground!K129,4),expense!$A:$G,$F$2,FALSE),0)</f>
        <v>0</v>
      </c>
      <c r="K116" s="14">
        <f>IFERROR(VLOOKUP(VLOOKUP(IFERROR(LEFT(playground!L129,SEARCH("|",playground!L129,1)-1),""),$C:$D,2,FALSE)&amp;RIGHT(playground!L129,4),expense!$A:$G,$F$2,FALSE),0)</f>
        <v>0</v>
      </c>
      <c r="L116" s="14">
        <f>IFERROR(VLOOKUP(VLOOKUP(IFERROR(LEFT(playground!M129,SEARCH("|",playground!M129,1)-1),""),$C:$D,2,FALSE)&amp;RIGHT(playground!M129,4),expense!$A:$G,$F$2,FALSE),0)</f>
        <v>0</v>
      </c>
      <c r="M116" s="14">
        <f>IFERROR(VLOOKUP(VLOOKUP(IFERROR(LEFT(playground!N129,SEARCH("|",playground!N129,1)-1),""),$C:$D,2,FALSE)&amp;RIGHT(playground!N129,4),expense!$A:$G,$F$2,FALSE),0)</f>
        <v>0</v>
      </c>
      <c r="N116" s="14">
        <f t="shared" si="7"/>
        <v>0</v>
      </c>
    </row>
    <row r="117" spans="1:14" x14ac:dyDescent="0.25">
      <c r="A117">
        <v>116</v>
      </c>
      <c r="B117" t="str">
        <f>IF(playground!G130=0,"",playground!G130)</f>
        <v/>
      </c>
      <c r="C117" t="str">
        <f t="shared" si="4"/>
        <v/>
      </c>
      <c r="D117" t="str">
        <f t="shared" si="5"/>
        <v/>
      </c>
      <c r="E117" t="str">
        <f t="shared" si="6"/>
        <v/>
      </c>
      <c r="G117" s="14">
        <f>IFERROR(VLOOKUP(VLOOKUP(IFERROR(LEFT(playground!H130,SEARCH("|",playground!H130,1)-1),""),$C:$D,2,FALSE)&amp;RIGHT(playground!H130,4),expense!$A:$G,$F$2,FALSE),0)</f>
        <v>0</v>
      </c>
      <c r="H117" s="14">
        <f>IFERROR(VLOOKUP(VLOOKUP(IFERROR(LEFT(playground!I130,SEARCH("|",playground!I130,1)-1),""),$C:$D,2,FALSE)&amp;RIGHT(playground!I130,4),expense!$A:$G,$F$2,FALSE),0)</f>
        <v>0</v>
      </c>
      <c r="I117" s="14">
        <f>IFERROR(VLOOKUP(VLOOKUP(IFERROR(LEFT(playground!J130,SEARCH("|",playground!J130,1)-1),""),$C:$D,2,FALSE)&amp;RIGHT(playground!J130,4),expense!$A:$G,$F$2,FALSE),0)</f>
        <v>0</v>
      </c>
      <c r="J117" s="14">
        <f>IFERROR(VLOOKUP(VLOOKUP(IFERROR(LEFT(playground!K130,SEARCH("|",playground!K130,1)-1),""),$C:$D,2,FALSE)&amp;RIGHT(playground!K130,4),expense!$A:$G,$F$2,FALSE),0)</f>
        <v>0</v>
      </c>
      <c r="K117" s="14">
        <f>IFERROR(VLOOKUP(VLOOKUP(IFERROR(LEFT(playground!L130,SEARCH("|",playground!L130,1)-1),""),$C:$D,2,FALSE)&amp;RIGHT(playground!L130,4),expense!$A:$G,$F$2,FALSE),0)</f>
        <v>0</v>
      </c>
      <c r="L117" s="14">
        <f>IFERROR(VLOOKUP(VLOOKUP(IFERROR(LEFT(playground!M130,SEARCH("|",playground!M130,1)-1),""),$C:$D,2,FALSE)&amp;RIGHT(playground!M130,4),expense!$A:$G,$F$2,FALSE),0)</f>
        <v>0</v>
      </c>
      <c r="M117" s="14">
        <f>IFERROR(VLOOKUP(VLOOKUP(IFERROR(LEFT(playground!N130,SEARCH("|",playground!N130,1)-1),""),$C:$D,2,FALSE)&amp;RIGHT(playground!N130,4),expense!$A:$G,$F$2,FALSE),0)</f>
        <v>0</v>
      </c>
      <c r="N117" s="14">
        <f t="shared" si="7"/>
        <v>0</v>
      </c>
    </row>
    <row r="118" spans="1:14" x14ac:dyDescent="0.25">
      <c r="A118">
        <v>117</v>
      </c>
      <c r="B118" t="str">
        <f>IF(playground!G131=0,"",playground!G131)</f>
        <v/>
      </c>
      <c r="C118" t="str">
        <f t="shared" si="4"/>
        <v/>
      </c>
      <c r="D118" t="str">
        <f t="shared" si="5"/>
        <v/>
      </c>
      <c r="E118" t="str">
        <f t="shared" si="6"/>
        <v/>
      </c>
      <c r="G118" s="14">
        <f>IFERROR(VLOOKUP(VLOOKUP(IFERROR(LEFT(playground!H131,SEARCH("|",playground!H131,1)-1),""),$C:$D,2,FALSE)&amp;RIGHT(playground!H131,4),expense!$A:$G,$F$2,FALSE),0)</f>
        <v>0</v>
      </c>
      <c r="H118" s="14">
        <f>IFERROR(VLOOKUP(VLOOKUP(IFERROR(LEFT(playground!I131,SEARCH("|",playground!I131,1)-1),""),$C:$D,2,FALSE)&amp;RIGHT(playground!I131,4),expense!$A:$G,$F$2,FALSE),0)</f>
        <v>0</v>
      </c>
      <c r="I118" s="14">
        <f>IFERROR(VLOOKUP(VLOOKUP(IFERROR(LEFT(playground!J131,SEARCH("|",playground!J131,1)-1),""),$C:$D,2,FALSE)&amp;RIGHT(playground!J131,4),expense!$A:$G,$F$2,FALSE),0)</f>
        <v>0</v>
      </c>
      <c r="J118" s="14">
        <f>IFERROR(VLOOKUP(VLOOKUP(IFERROR(LEFT(playground!K131,SEARCH("|",playground!K131,1)-1),""),$C:$D,2,FALSE)&amp;RIGHT(playground!K131,4),expense!$A:$G,$F$2,FALSE),0)</f>
        <v>0</v>
      </c>
      <c r="K118" s="14">
        <f>IFERROR(VLOOKUP(VLOOKUP(IFERROR(LEFT(playground!L131,SEARCH("|",playground!L131,1)-1),""),$C:$D,2,FALSE)&amp;RIGHT(playground!L131,4),expense!$A:$G,$F$2,FALSE),0)</f>
        <v>0</v>
      </c>
      <c r="L118" s="14">
        <f>IFERROR(VLOOKUP(VLOOKUP(IFERROR(LEFT(playground!M131,SEARCH("|",playground!M131,1)-1),""),$C:$D,2,FALSE)&amp;RIGHT(playground!M131,4),expense!$A:$G,$F$2,FALSE),0)</f>
        <v>0</v>
      </c>
      <c r="M118" s="14">
        <f>IFERROR(VLOOKUP(VLOOKUP(IFERROR(LEFT(playground!N131,SEARCH("|",playground!N131,1)-1),""),$C:$D,2,FALSE)&amp;RIGHT(playground!N131,4),expense!$A:$G,$F$2,FALSE),0)</f>
        <v>0</v>
      </c>
      <c r="N118" s="14">
        <f t="shared" si="7"/>
        <v>0</v>
      </c>
    </row>
    <row r="119" spans="1:14" x14ac:dyDescent="0.25">
      <c r="A119">
        <v>118</v>
      </c>
      <c r="B119" t="str">
        <f>IF(playground!G132=0,"",playground!G132)</f>
        <v/>
      </c>
      <c r="C119" t="str">
        <f t="shared" si="4"/>
        <v/>
      </c>
      <c r="D119" t="str">
        <f t="shared" si="5"/>
        <v/>
      </c>
      <c r="E119" t="str">
        <f t="shared" si="6"/>
        <v/>
      </c>
      <c r="G119" s="14">
        <f>IFERROR(VLOOKUP(VLOOKUP(IFERROR(LEFT(playground!H132,SEARCH("|",playground!H132,1)-1),""),$C:$D,2,FALSE)&amp;RIGHT(playground!H132,4),expense!$A:$G,$F$2,FALSE),0)</f>
        <v>0</v>
      </c>
      <c r="H119" s="14">
        <f>IFERROR(VLOOKUP(VLOOKUP(IFERROR(LEFT(playground!I132,SEARCH("|",playground!I132,1)-1),""),$C:$D,2,FALSE)&amp;RIGHT(playground!I132,4),expense!$A:$G,$F$2,FALSE),0)</f>
        <v>0</v>
      </c>
      <c r="I119" s="14">
        <f>IFERROR(VLOOKUP(VLOOKUP(IFERROR(LEFT(playground!J132,SEARCH("|",playground!J132,1)-1),""),$C:$D,2,FALSE)&amp;RIGHT(playground!J132,4),expense!$A:$G,$F$2,FALSE),0)</f>
        <v>0</v>
      </c>
      <c r="J119" s="14">
        <f>IFERROR(VLOOKUP(VLOOKUP(IFERROR(LEFT(playground!K132,SEARCH("|",playground!K132,1)-1),""),$C:$D,2,FALSE)&amp;RIGHT(playground!K132,4),expense!$A:$G,$F$2,FALSE),0)</f>
        <v>0</v>
      </c>
      <c r="K119" s="14">
        <f>IFERROR(VLOOKUP(VLOOKUP(IFERROR(LEFT(playground!L132,SEARCH("|",playground!L132,1)-1),""),$C:$D,2,FALSE)&amp;RIGHT(playground!L132,4),expense!$A:$G,$F$2,FALSE),0)</f>
        <v>0</v>
      </c>
      <c r="L119" s="14">
        <f>IFERROR(VLOOKUP(VLOOKUP(IFERROR(LEFT(playground!M132,SEARCH("|",playground!M132,1)-1),""),$C:$D,2,FALSE)&amp;RIGHT(playground!M132,4),expense!$A:$G,$F$2,FALSE),0)</f>
        <v>0</v>
      </c>
      <c r="M119" s="14">
        <f>IFERROR(VLOOKUP(VLOOKUP(IFERROR(LEFT(playground!N132,SEARCH("|",playground!N132,1)-1),""),$C:$D,2,FALSE)&amp;RIGHT(playground!N132,4),expense!$A:$G,$F$2,FALSE),0)</f>
        <v>0</v>
      </c>
      <c r="N119" s="14">
        <f t="shared" si="7"/>
        <v>0</v>
      </c>
    </row>
    <row r="120" spans="1:14" x14ac:dyDescent="0.25">
      <c r="A120">
        <v>119</v>
      </c>
      <c r="B120" t="str">
        <f>IF(playground!G133=0,"",playground!G133)</f>
        <v/>
      </c>
      <c r="C120" t="str">
        <f t="shared" si="4"/>
        <v/>
      </c>
      <c r="D120" t="str">
        <f t="shared" si="5"/>
        <v/>
      </c>
      <c r="E120" t="str">
        <f t="shared" si="6"/>
        <v/>
      </c>
      <c r="G120" s="14">
        <f>IFERROR(VLOOKUP(VLOOKUP(IFERROR(LEFT(playground!H133,SEARCH("|",playground!H133,1)-1),""),$C:$D,2,FALSE)&amp;RIGHT(playground!H133,4),expense!$A:$G,$F$2,FALSE),0)</f>
        <v>0</v>
      </c>
      <c r="H120" s="14">
        <f>IFERROR(VLOOKUP(VLOOKUP(IFERROR(LEFT(playground!I133,SEARCH("|",playground!I133,1)-1),""),$C:$D,2,FALSE)&amp;RIGHT(playground!I133,4),expense!$A:$G,$F$2,FALSE),0)</f>
        <v>0</v>
      </c>
      <c r="I120" s="14">
        <f>IFERROR(VLOOKUP(VLOOKUP(IFERROR(LEFT(playground!J133,SEARCH("|",playground!J133,1)-1),""),$C:$D,2,FALSE)&amp;RIGHT(playground!J133,4),expense!$A:$G,$F$2,FALSE),0)</f>
        <v>0</v>
      </c>
      <c r="J120" s="14">
        <f>IFERROR(VLOOKUP(VLOOKUP(IFERROR(LEFT(playground!K133,SEARCH("|",playground!K133,1)-1),""),$C:$D,2,FALSE)&amp;RIGHT(playground!K133,4),expense!$A:$G,$F$2,FALSE),0)</f>
        <v>0</v>
      </c>
      <c r="K120" s="14">
        <f>IFERROR(VLOOKUP(VLOOKUP(IFERROR(LEFT(playground!L133,SEARCH("|",playground!L133,1)-1),""),$C:$D,2,FALSE)&amp;RIGHT(playground!L133,4),expense!$A:$G,$F$2,FALSE),0)</f>
        <v>0</v>
      </c>
      <c r="L120" s="14">
        <f>IFERROR(VLOOKUP(VLOOKUP(IFERROR(LEFT(playground!M133,SEARCH("|",playground!M133,1)-1),""),$C:$D,2,FALSE)&amp;RIGHT(playground!M133,4),expense!$A:$G,$F$2,FALSE),0)</f>
        <v>0</v>
      </c>
      <c r="M120" s="14">
        <f>IFERROR(VLOOKUP(VLOOKUP(IFERROR(LEFT(playground!N133,SEARCH("|",playground!N133,1)-1),""),$C:$D,2,FALSE)&amp;RIGHT(playground!N133,4),expense!$A:$G,$F$2,FALSE),0)</f>
        <v>0</v>
      </c>
      <c r="N120" s="14">
        <f t="shared" si="7"/>
        <v>0</v>
      </c>
    </row>
    <row r="121" spans="1:14" x14ac:dyDescent="0.25">
      <c r="A121">
        <v>120</v>
      </c>
      <c r="B121" t="str">
        <f>IF(playground!G134=0,"",playground!G134)</f>
        <v/>
      </c>
      <c r="C121" t="str">
        <f t="shared" si="4"/>
        <v/>
      </c>
      <c r="D121" t="str">
        <f t="shared" si="5"/>
        <v/>
      </c>
      <c r="E121" t="str">
        <f t="shared" si="6"/>
        <v/>
      </c>
      <c r="G121" s="14">
        <f>IFERROR(VLOOKUP(VLOOKUP(IFERROR(LEFT(playground!H134,SEARCH("|",playground!H134,1)-1),""),$C:$D,2,FALSE)&amp;RIGHT(playground!H134,4),expense!$A:$G,$F$2,FALSE),0)</f>
        <v>0</v>
      </c>
      <c r="H121" s="14">
        <f>IFERROR(VLOOKUP(VLOOKUP(IFERROR(LEFT(playground!I134,SEARCH("|",playground!I134,1)-1),""),$C:$D,2,FALSE)&amp;RIGHT(playground!I134,4),expense!$A:$G,$F$2,FALSE),0)</f>
        <v>0</v>
      </c>
      <c r="I121" s="14">
        <f>IFERROR(VLOOKUP(VLOOKUP(IFERROR(LEFT(playground!J134,SEARCH("|",playground!J134,1)-1),""),$C:$D,2,FALSE)&amp;RIGHT(playground!J134,4),expense!$A:$G,$F$2,FALSE),0)</f>
        <v>0</v>
      </c>
      <c r="J121" s="14">
        <f>IFERROR(VLOOKUP(VLOOKUP(IFERROR(LEFT(playground!K134,SEARCH("|",playground!K134,1)-1),""),$C:$D,2,FALSE)&amp;RIGHT(playground!K134,4),expense!$A:$G,$F$2,FALSE),0)</f>
        <v>0</v>
      </c>
      <c r="K121" s="14">
        <f>IFERROR(VLOOKUP(VLOOKUP(IFERROR(LEFT(playground!L134,SEARCH("|",playground!L134,1)-1),""),$C:$D,2,FALSE)&amp;RIGHT(playground!L134,4),expense!$A:$G,$F$2,FALSE),0)</f>
        <v>0</v>
      </c>
      <c r="L121" s="14">
        <f>IFERROR(VLOOKUP(VLOOKUP(IFERROR(LEFT(playground!M134,SEARCH("|",playground!M134,1)-1),""),$C:$D,2,FALSE)&amp;RIGHT(playground!M134,4),expense!$A:$G,$F$2,FALSE),0)</f>
        <v>0</v>
      </c>
      <c r="M121" s="14">
        <f>IFERROR(VLOOKUP(VLOOKUP(IFERROR(LEFT(playground!N134,SEARCH("|",playground!N134,1)-1),""),$C:$D,2,FALSE)&amp;RIGHT(playground!N134,4),expense!$A:$G,$F$2,FALSE),0)</f>
        <v>0</v>
      </c>
      <c r="N121" s="14">
        <f t="shared" si="7"/>
        <v>0</v>
      </c>
    </row>
    <row r="122" spans="1:14" x14ac:dyDescent="0.25">
      <c r="A122">
        <v>121</v>
      </c>
      <c r="B122" t="str">
        <f>IF(playground!G135=0,"",playground!G135)</f>
        <v/>
      </c>
      <c r="C122" t="str">
        <f t="shared" si="4"/>
        <v/>
      </c>
      <c r="D122" t="str">
        <f t="shared" si="5"/>
        <v/>
      </c>
      <c r="E122" t="str">
        <f t="shared" si="6"/>
        <v/>
      </c>
      <c r="G122" s="14">
        <f>IFERROR(VLOOKUP(VLOOKUP(IFERROR(LEFT(playground!H135,SEARCH("|",playground!H135,1)-1),""),$C:$D,2,FALSE)&amp;RIGHT(playground!H135,4),expense!$A:$G,$F$2,FALSE),0)</f>
        <v>0</v>
      </c>
      <c r="H122" s="14">
        <f>IFERROR(VLOOKUP(VLOOKUP(IFERROR(LEFT(playground!I135,SEARCH("|",playground!I135,1)-1),""),$C:$D,2,FALSE)&amp;RIGHT(playground!I135,4),expense!$A:$G,$F$2,FALSE),0)</f>
        <v>0</v>
      </c>
      <c r="I122" s="14">
        <f>IFERROR(VLOOKUP(VLOOKUP(IFERROR(LEFT(playground!J135,SEARCH("|",playground!J135,1)-1),""),$C:$D,2,FALSE)&amp;RIGHT(playground!J135,4),expense!$A:$G,$F$2,FALSE),0)</f>
        <v>0</v>
      </c>
      <c r="J122" s="14">
        <f>IFERROR(VLOOKUP(VLOOKUP(IFERROR(LEFT(playground!K135,SEARCH("|",playground!K135,1)-1),""),$C:$D,2,FALSE)&amp;RIGHT(playground!K135,4),expense!$A:$G,$F$2,FALSE),0)</f>
        <v>0</v>
      </c>
      <c r="K122" s="14">
        <f>IFERROR(VLOOKUP(VLOOKUP(IFERROR(LEFT(playground!L135,SEARCH("|",playground!L135,1)-1),""),$C:$D,2,FALSE)&amp;RIGHT(playground!L135,4),expense!$A:$G,$F$2,FALSE),0)</f>
        <v>0</v>
      </c>
      <c r="L122" s="14">
        <f>IFERROR(VLOOKUP(VLOOKUP(IFERROR(LEFT(playground!M135,SEARCH("|",playground!M135,1)-1),""),$C:$D,2,FALSE)&amp;RIGHT(playground!M135,4),expense!$A:$G,$F$2,FALSE),0)</f>
        <v>0</v>
      </c>
      <c r="M122" s="14">
        <f>IFERROR(VLOOKUP(VLOOKUP(IFERROR(LEFT(playground!N135,SEARCH("|",playground!N135,1)-1),""),$C:$D,2,FALSE)&amp;RIGHT(playground!N135,4),expense!$A:$G,$F$2,FALSE),0)</f>
        <v>0</v>
      </c>
      <c r="N122" s="14">
        <f t="shared" si="7"/>
        <v>0</v>
      </c>
    </row>
    <row r="123" spans="1:14" x14ac:dyDescent="0.25">
      <c r="A123">
        <v>122</v>
      </c>
      <c r="B123" t="str">
        <f>IF(playground!G136=0,"",playground!G136)</f>
        <v/>
      </c>
      <c r="C123" t="str">
        <f t="shared" si="4"/>
        <v/>
      </c>
      <c r="D123" t="str">
        <f t="shared" si="5"/>
        <v/>
      </c>
      <c r="E123" t="str">
        <f t="shared" si="6"/>
        <v/>
      </c>
      <c r="G123" s="14">
        <f>IFERROR(VLOOKUP(VLOOKUP(IFERROR(LEFT(playground!H136,SEARCH("|",playground!H136,1)-1),""),$C:$D,2,FALSE)&amp;RIGHT(playground!H136,4),expense!$A:$G,$F$2,FALSE),0)</f>
        <v>0</v>
      </c>
      <c r="H123" s="14">
        <f>IFERROR(VLOOKUP(VLOOKUP(IFERROR(LEFT(playground!I136,SEARCH("|",playground!I136,1)-1),""),$C:$D,2,FALSE)&amp;RIGHT(playground!I136,4),expense!$A:$G,$F$2,FALSE),0)</f>
        <v>0</v>
      </c>
      <c r="I123" s="14">
        <f>IFERROR(VLOOKUP(VLOOKUP(IFERROR(LEFT(playground!J136,SEARCH("|",playground!J136,1)-1),""),$C:$D,2,FALSE)&amp;RIGHT(playground!J136,4),expense!$A:$G,$F$2,FALSE),0)</f>
        <v>0</v>
      </c>
      <c r="J123" s="14">
        <f>IFERROR(VLOOKUP(VLOOKUP(IFERROR(LEFT(playground!K136,SEARCH("|",playground!K136,1)-1),""),$C:$D,2,FALSE)&amp;RIGHT(playground!K136,4),expense!$A:$G,$F$2,FALSE),0)</f>
        <v>0</v>
      </c>
      <c r="K123" s="14">
        <f>IFERROR(VLOOKUP(VLOOKUP(IFERROR(LEFT(playground!L136,SEARCH("|",playground!L136,1)-1),""),$C:$D,2,FALSE)&amp;RIGHT(playground!L136,4),expense!$A:$G,$F$2,FALSE),0)</f>
        <v>0</v>
      </c>
      <c r="L123" s="14">
        <f>IFERROR(VLOOKUP(VLOOKUP(IFERROR(LEFT(playground!M136,SEARCH("|",playground!M136,1)-1),""),$C:$D,2,FALSE)&amp;RIGHT(playground!M136,4),expense!$A:$G,$F$2,FALSE),0)</f>
        <v>0</v>
      </c>
      <c r="M123" s="14">
        <f>IFERROR(VLOOKUP(VLOOKUP(IFERROR(LEFT(playground!N136,SEARCH("|",playground!N136,1)-1),""),$C:$D,2,FALSE)&amp;RIGHT(playground!N136,4),expense!$A:$G,$F$2,FALSE),0)</f>
        <v>0</v>
      </c>
      <c r="N123" s="14">
        <f t="shared" si="7"/>
        <v>0</v>
      </c>
    </row>
    <row r="124" spans="1:14" x14ac:dyDescent="0.25">
      <c r="A124">
        <v>123</v>
      </c>
      <c r="B124" t="str">
        <f>IF(playground!G137=0,"",playground!G137)</f>
        <v/>
      </c>
      <c r="C124" t="str">
        <f t="shared" si="4"/>
        <v/>
      </c>
      <c r="D124" t="str">
        <f t="shared" si="5"/>
        <v/>
      </c>
      <c r="E124" t="str">
        <f t="shared" si="6"/>
        <v/>
      </c>
      <c r="G124" s="14">
        <f>IFERROR(VLOOKUP(VLOOKUP(IFERROR(LEFT(playground!H137,SEARCH("|",playground!H137,1)-1),""),$C:$D,2,FALSE)&amp;RIGHT(playground!H137,4),expense!$A:$G,$F$2,FALSE),0)</f>
        <v>0</v>
      </c>
      <c r="H124" s="14">
        <f>IFERROR(VLOOKUP(VLOOKUP(IFERROR(LEFT(playground!I137,SEARCH("|",playground!I137,1)-1),""),$C:$D,2,FALSE)&amp;RIGHT(playground!I137,4),expense!$A:$G,$F$2,FALSE),0)</f>
        <v>0</v>
      </c>
      <c r="I124" s="14">
        <f>IFERROR(VLOOKUP(VLOOKUP(IFERROR(LEFT(playground!J137,SEARCH("|",playground!J137,1)-1),""),$C:$D,2,FALSE)&amp;RIGHT(playground!J137,4),expense!$A:$G,$F$2,FALSE),0)</f>
        <v>0</v>
      </c>
      <c r="J124" s="14">
        <f>IFERROR(VLOOKUP(VLOOKUP(IFERROR(LEFT(playground!K137,SEARCH("|",playground!K137,1)-1),""),$C:$D,2,FALSE)&amp;RIGHT(playground!K137,4),expense!$A:$G,$F$2,FALSE),0)</f>
        <v>0</v>
      </c>
      <c r="K124" s="14">
        <f>IFERROR(VLOOKUP(VLOOKUP(IFERROR(LEFT(playground!L137,SEARCH("|",playground!L137,1)-1),""),$C:$D,2,FALSE)&amp;RIGHT(playground!L137,4),expense!$A:$G,$F$2,FALSE),0)</f>
        <v>0</v>
      </c>
      <c r="L124" s="14">
        <f>IFERROR(VLOOKUP(VLOOKUP(IFERROR(LEFT(playground!M137,SEARCH("|",playground!M137,1)-1),""),$C:$D,2,FALSE)&amp;RIGHT(playground!M137,4),expense!$A:$G,$F$2,FALSE),0)</f>
        <v>0</v>
      </c>
      <c r="M124" s="14">
        <f>IFERROR(VLOOKUP(VLOOKUP(IFERROR(LEFT(playground!N137,SEARCH("|",playground!N137,1)-1),""),$C:$D,2,FALSE)&amp;RIGHT(playground!N137,4),expense!$A:$G,$F$2,FALSE),0)</f>
        <v>0</v>
      </c>
      <c r="N124" s="14">
        <f t="shared" si="7"/>
        <v>0</v>
      </c>
    </row>
    <row r="125" spans="1:14" x14ac:dyDescent="0.25">
      <c r="A125">
        <v>124</v>
      </c>
      <c r="B125" t="str">
        <f>IF(playground!G138=0,"",playground!G138)</f>
        <v/>
      </c>
      <c r="C125" t="str">
        <f t="shared" si="4"/>
        <v/>
      </c>
      <c r="D125" t="str">
        <f t="shared" si="5"/>
        <v/>
      </c>
      <c r="E125" t="str">
        <f t="shared" si="6"/>
        <v/>
      </c>
      <c r="G125" s="14">
        <f>IFERROR(VLOOKUP(VLOOKUP(IFERROR(LEFT(playground!H138,SEARCH("|",playground!H138,1)-1),""),$C:$D,2,FALSE)&amp;RIGHT(playground!H138,4),expense!$A:$G,$F$2,FALSE),0)</f>
        <v>0</v>
      </c>
      <c r="H125" s="14">
        <f>IFERROR(VLOOKUP(VLOOKUP(IFERROR(LEFT(playground!I138,SEARCH("|",playground!I138,1)-1),""),$C:$D,2,FALSE)&amp;RIGHT(playground!I138,4),expense!$A:$G,$F$2,FALSE),0)</f>
        <v>0</v>
      </c>
      <c r="I125" s="14">
        <f>IFERROR(VLOOKUP(VLOOKUP(IFERROR(LEFT(playground!J138,SEARCH("|",playground!J138,1)-1),""),$C:$D,2,FALSE)&amp;RIGHT(playground!J138,4),expense!$A:$G,$F$2,FALSE),0)</f>
        <v>0</v>
      </c>
      <c r="J125" s="14">
        <f>IFERROR(VLOOKUP(VLOOKUP(IFERROR(LEFT(playground!K138,SEARCH("|",playground!K138,1)-1),""),$C:$D,2,FALSE)&amp;RIGHT(playground!K138,4),expense!$A:$G,$F$2,FALSE),0)</f>
        <v>0</v>
      </c>
      <c r="K125" s="14">
        <f>IFERROR(VLOOKUP(VLOOKUP(IFERROR(LEFT(playground!L138,SEARCH("|",playground!L138,1)-1),""),$C:$D,2,FALSE)&amp;RIGHT(playground!L138,4),expense!$A:$G,$F$2,FALSE),0)</f>
        <v>0</v>
      </c>
      <c r="L125" s="14">
        <f>IFERROR(VLOOKUP(VLOOKUP(IFERROR(LEFT(playground!M138,SEARCH("|",playground!M138,1)-1),""),$C:$D,2,FALSE)&amp;RIGHT(playground!M138,4),expense!$A:$G,$F$2,FALSE),0)</f>
        <v>0</v>
      </c>
      <c r="M125" s="14">
        <f>IFERROR(VLOOKUP(VLOOKUP(IFERROR(LEFT(playground!N138,SEARCH("|",playground!N138,1)-1),""),$C:$D,2,FALSE)&amp;RIGHT(playground!N138,4),expense!$A:$G,$F$2,FALSE),0)</f>
        <v>0</v>
      </c>
      <c r="N125" s="14">
        <f t="shared" si="7"/>
        <v>0</v>
      </c>
    </row>
    <row r="126" spans="1:14" x14ac:dyDescent="0.25">
      <c r="A126">
        <v>125</v>
      </c>
      <c r="B126" t="str">
        <f>IF(playground!G139=0,"",playground!G139)</f>
        <v/>
      </c>
      <c r="C126" t="str">
        <f t="shared" si="4"/>
        <v/>
      </c>
      <c r="D126" t="str">
        <f t="shared" si="5"/>
        <v/>
      </c>
      <c r="E126" t="str">
        <f t="shared" si="6"/>
        <v/>
      </c>
      <c r="G126" s="14">
        <f>IFERROR(VLOOKUP(VLOOKUP(IFERROR(LEFT(playground!H139,SEARCH("|",playground!H139,1)-1),""),$C:$D,2,FALSE)&amp;RIGHT(playground!H139,4),expense!$A:$G,$F$2,FALSE),0)</f>
        <v>0</v>
      </c>
      <c r="H126" s="14">
        <f>IFERROR(VLOOKUP(VLOOKUP(IFERROR(LEFT(playground!I139,SEARCH("|",playground!I139,1)-1),""),$C:$D,2,FALSE)&amp;RIGHT(playground!I139,4),expense!$A:$G,$F$2,FALSE),0)</f>
        <v>0</v>
      </c>
      <c r="I126" s="14">
        <f>IFERROR(VLOOKUP(VLOOKUP(IFERROR(LEFT(playground!J139,SEARCH("|",playground!J139,1)-1),""),$C:$D,2,FALSE)&amp;RIGHT(playground!J139,4),expense!$A:$G,$F$2,FALSE),0)</f>
        <v>0</v>
      </c>
      <c r="J126" s="14">
        <f>IFERROR(VLOOKUP(VLOOKUP(IFERROR(LEFT(playground!K139,SEARCH("|",playground!K139,1)-1),""),$C:$D,2,FALSE)&amp;RIGHT(playground!K139,4),expense!$A:$G,$F$2,FALSE),0)</f>
        <v>0</v>
      </c>
      <c r="K126" s="14">
        <f>IFERROR(VLOOKUP(VLOOKUP(IFERROR(LEFT(playground!L139,SEARCH("|",playground!L139,1)-1),""),$C:$D,2,FALSE)&amp;RIGHT(playground!L139,4),expense!$A:$G,$F$2,FALSE),0)</f>
        <v>0</v>
      </c>
      <c r="L126" s="14">
        <f>IFERROR(VLOOKUP(VLOOKUP(IFERROR(LEFT(playground!M139,SEARCH("|",playground!M139,1)-1),""),$C:$D,2,FALSE)&amp;RIGHT(playground!M139,4),expense!$A:$G,$F$2,FALSE),0)</f>
        <v>0</v>
      </c>
      <c r="M126" s="14">
        <f>IFERROR(VLOOKUP(VLOOKUP(IFERROR(LEFT(playground!N139,SEARCH("|",playground!N139,1)-1),""),$C:$D,2,FALSE)&amp;RIGHT(playground!N139,4),expense!$A:$G,$F$2,FALSE),0)</f>
        <v>0</v>
      </c>
      <c r="N126" s="14">
        <f t="shared" si="7"/>
        <v>0</v>
      </c>
    </row>
    <row r="127" spans="1:14" x14ac:dyDescent="0.25">
      <c r="A127">
        <v>126</v>
      </c>
      <c r="B127" t="str">
        <f>IF(playground!G140=0,"",playground!G140)</f>
        <v/>
      </c>
      <c r="C127" t="str">
        <f t="shared" si="4"/>
        <v/>
      </c>
      <c r="D127" t="str">
        <f t="shared" si="5"/>
        <v/>
      </c>
      <c r="E127" t="str">
        <f t="shared" si="6"/>
        <v/>
      </c>
      <c r="G127" s="14">
        <f>IFERROR(VLOOKUP(VLOOKUP(IFERROR(LEFT(playground!H140,SEARCH("|",playground!H140,1)-1),""),$C:$D,2,FALSE)&amp;RIGHT(playground!H140,4),expense!$A:$G,$F$2,FALSE),0)</f>
        <v>0</v>
      </c>
      <c r="H127" s="14">
        <f>IFERROR(VLOOKUP(VLOOKUP(IFERROR(LEFT(playground!I140,SEARCH("|",playground!I140,1)-1),""),$C:$D,2,FALSE)&amp;RIGHT(playground!I140,4),expense!$A:$G,$F$2,FALSE),0)</f>
        <v>0</v>
      </c>
      <c r="I127" s="14">
        <f>IFERROR(VLOOKUP(VLOOKUP(IFERROR(LEFT(playground!J140,SEARCH("|",playground!J140,1)-1),""),$C:$D,2,FALSE)&amp;RIGHT(playground!J140,4),expense!$A:$G,$F$2,FALSE),0)</f>
        <v>0</v>
      </c>
      <c r="J127" s="14">
        <f>IFERROR(VLOOKUP(VLOOKUP(IFERROR(LEFT(playground!K140,SEARCH("|",playground!K140,1)-1),""),$C:$D,2,FALSE)&amp;RIGHT(playground!K140,4),expense!$A:$G,$F$2,FALSE),0)</f>
        <v>0</v>
      </c>
      <c r="K127" s="14">
        <f>IFERROR(VLOOKUP(VLOOKUP(IFERROR(LEFT(playground!L140,SEARCH("|",playground!L140,1)-1),""),$C:$D,2,FALSE)&amp;RIGHT(playground!L140,4),expense!$A:$G,$F$2,FALSE),0)</f>
        <v>0</v>
      </c>
      <c r="L127" s="14">
        <f>IFERROR(VLOOKUP(VLOOKUP(IFERROR(LEFT(playground!M140,SEARCH("|",playground!M140,1)-1),""),$C:$D,2,FALSE)&amp;RIGHT(playground!M140,4),expense!$A:$G,$F$2,FALSE),0)</f>
        <v>0</v>
      </c>
      <c r="M127" s="14">
        <f>IFERROR(VLOOKUP(VLOOKUP(IFERROR(LEFT(playground!N140,SEARCH("|",playground!N140,1)-1),""),$C:$D,2,FALSE)&amp;RIGHT(playground!N140,4),expense!$A:$G,$F$2,FALSE),0)</f>
        <v>0</v>
      </c>
      <c r="N127" s="14">
        <f t="shared" si="7"/>
        <v>0</v>
      </c>
    </row>
    <row r="128" spans="1:14" x14ac:dyDescent="0.25">
      <c r="A128">
        <v>127</v>
      </c>
      <c r="B128" t="str">
        <f>IF(playground!G141=0,"",playground!G141)</f>
        <v/>
      </c>
      <c r="C128" t="str">
        <f t="shared" si="4"/>
        <v/>
      </c>
      <c r="D128" t="str">
        <f t="shared" si="5"/>
        <v/>
      </c>
      <c r="E128" t="str">
        <f t="shared" si="6"/>
        <v/>
      </c>
      <c r="G128" s="14">
        <f>IFERROR(VLOOKUP(VLOOKUP(IFERROR(LEFT(playground!H141,SEARCH("|",playground!H141,1)-1),""),$C:$D,2,FALSE)&amp;RIGHT(playground!H141,4),expense!$A:$G,$F$2,FALSE),0)</f>
        <v>0</v>
      </c>
      <c r="H128" s="14">
        <f>IFERROR(VLOOKUP(VLOOKUP(IFERROR(LEFT(playground!I141,SEARCH("|",playground!I141,1)-1),""),$C:$D,2,FALSE)&amp;RIGHT(playground!I141,4),expense!$A:$G,$F$2,FALSE),0)</f>
        <v>0</v>
      </c>
      <c r="I128" s="14">
        <f>IFERROR(VLOOKUP(VLOOKUP(IFERROR(LEFT(playground!J141,SEARCH("|",playground!J141,1)-1),""),$C:$D,2,FALSE)&amp;RIGHT(playground!J141,4),expense!$A:$G,$F$2,FALSE),0)</f>
        <v>0</v>
      </c>
      <c r="J128" s="14">
        <f>IFERROR(VLOOKUP(VLOOKUP(IFERROR(LEFT(playground!K141,SEARCH("|",playground!K141,1)-1),""),$C:$D,2,FALSE)&amp;RIGHT(playground!K141,4),expense!$A:$G,$F$2,FALSE),0)</f>
        <v>0</v>
      </c>
      <c r="K128" s="14">
        <f>IFERROR(VLOOKUP(VLOOKUP(IFERROR(LEFT(playground!L141,SEARCH("|",playground!L141,1)-1),""),$C:$D,2,FALSE)&amp;RIGHT(playground!L141,4),expense!$A:$G,$F$2,FALSE),0)</f>
        <v>0</v>
      </c>
      <c r="L128" s="14">
        <f>IFERROR(VLOOKUP(VLOOKUP(IFERROR(LEFT(playground!M141,SEARCH("|",playground!M141,1)-1),""),$C:$D,2,FALSE)&amp;RIGHT(playground!M141,4),expense!$A:$G,$F$2,FALSE),0)</f>
        <v>0</v>
      </c>
      <c r="M128" s="14">
        <f>IFERROR(VLOOKUP(VLOOKUP(IFERROR(LEFT(playground!N141,SEARCH("|",playground!N141,1)-1),""),$C:$D,2,FALSE)&amp;RIGHT(playground!N141,4),expense!$A:$G,$F$2,FALSE),0)</f>
        <v>0</v>
      </c>
      <c r="N128" s="14">
        <f t="shared" si="7"/>
        <v>0</v>
      </c>
    </row>
    <row r="129" spans="1:14" x14ac:dyDescent="0.25">
      <c r="A129">
        <v>128</v>
      </c>
      <c r="B129" t="str">
        <f>IF(playground!G142=0,"",playground!G142)</f>
        <v/>
      </c>
      <c r="C129" t="str">
        <f t="shared" si="4"/>
        <v/>
      </c>
      <c r="D129" t="str">
        <f t="shared" si="5"/>
        <v/>
      </c>
      <c r="E129" t="str">
        <f t="shared" si="6"/>
        <v/>
      </c>
      <c r="G129" s="14">
        <f>IFERROR(VLOOKUP(VLOOKUP(IFERROR(LEFT(playground!H142,SEARCH("|",playground!H142,1)-1),""),$C:$D,2,FALSE)&amp;RIGHT(playground!H142,4),expense!$A:$G,$F$2,FALSE),0)</f>
        <v>0</v>
      </c>
      <c r="H129" s="14">
        <f>IFERROR(VLOOKUP(VLOOKUP(IFERROR(LEFT(playground!I142,SEARCH("|",playground!I142,1)-1),""),$C:$D,2,FALSE)&amp;RIGHT(playground!I142,4),expense!$A:$G,$F$2,FALSE),0)</f>
        <v>0</v>
      </c>
      <c r="I129" s="14">
        <f>IFERROR(VLOOKUP(VLOOKUP(IFERROR(LEFT(playground!J142,SEARCH("|",playground!J142,1)-1),""),$C:$D,2,FALSE)&amp;RIGHT(playground!J142,4),expense!$A:$G,$F$2,FALSE),0)</f>
        <v>0</v>
      </c>
      <c r="J129" s="14">
        <f>IFERROR(VLOOKUP(VLOOKUP(IFERROR(LEFT(playground!K142,SEARCH("|",playground!K142,1)-1),""),$C:$D,2,FALSE)&amp;RIGHT(playground!K142,4),expense!$A:$G,$F$2,FALSE),0)</f>
        <v>0</v>
      </c>
      <c r="K129" s="14">
        <f>IFERROR(VLOOKUP(VLOOKUP(IFERROR(LEFT(playground!L142,SEARCH("|",playground!L142,1)-1),""),$C:$D,2,FALSE)&amp;RIGHT(playground!L142,4),expense!$A:$G,$F$2,FALSE),0)</f>
        <v>0</v>
      </c>
      <c r="L129" s="14">
        <f>IFERROR(VLOOKUP(VLOOKUP(IFERROR(LEFT(playground!M142,SEARCH("|",playground!M142,1)-1),""),$C:$D,2,FALSE)&amp;RIGHT(playground!M142,4),expense!$A:$G,$F$2,FALSE),0)</f>
        <v>0</v>
      </c>
      <c r="M129" s="14">
        <f>IFERROR(VLOOKUP(VLOOKUP(IFERROR(LEFT(playground!N142,SEARCH("|",playground!N142,1)-1),""),$C:$D,2,FALSE)&amp;RIGHT(playground!N142,4),expense!$A:$G,$F$2,FALSE),0)</f>
        <v>0</v>
      </c>
      <c r="N129" s="14">
        <f t="shared" si="7"/>
        <v>0</v>
      </c>
    </row>
    <row r="130" spans="1:14" x14ac:dyDescent="0.25">
      <c r="A130">
        <v>129</v>
      </c>
      <c r="B130" t="str">
        <f>IF(playground!G143=0,"",playground!G143)</f>
        <v/>
      </c>
      <c r="C130" t="str">
        <f t="shared" si="4"/>
        <v/>
      </c>
      <c r="D130" t="str">
        <f t="shared" si="5"/>
        <v/>
      </c>
      <c r="E130" t="str">
        <f t="shared" si="6"/>
        <v/>
      </c>
      <c r="G130" s="14">
        <f>IFERROR(VLOOKUP(VLOOKUP(IFERROR(LEFT(playground!H143,SEARCH("|",playground!H143,1)-1),""),$C:$D,2,FALSE)&amp;RIGHT(playground!H143,4),expense!$A:$G,$F$2,FALSE),0)</f>
        <v>0</v>
      </c>
      <c r="H130" s="14">
        <f>IFERROR(VLOOKUP(VLOOKUP(IFERROR(LEFT(playground!I143,SEARCH("|",playground!I143,1)-1),""),$C:$D,2,FALSE)&amp;RIGHT(playground!I143,4),expense!$A:$G,$F$2,FALSE),0)</f>
        <v>0</v>
      </c>
      <c r="I130" s="14">
        <f>IFERROR(VLOOKUP(VLOOKUP(IFERROR(LEFT(playground!J143,SEARCH("|",playground!J143,1)-1),""),$C:$D,2,FALSE)&amp;RIGHT(playground!J143,4),expense!$A:$G,$F$2,FALSE),0)</f>
        <v>0</v>
      </c>
      <c r="J130" s="14">
        <f>IFERROR(VLOOKUP(VLOOKUP(IFERROR(LEFT(playground!K143,SEARCH("|",playground!K143,1)-1),""),$C:$D,2,FALSE)&amp;RIGHT(playground!K143,4),expense!$A:$G,$F$2,FALSE),0)</f>
        <v>0</v>
      </c>
      <c r="K130" s="14">
        <f>IFERROR(VLOOKUP(VLOOKUP(IFERROR(LEFT(playground!L143,SEARCH("|",playground!L143,1)-1),""),$C:$D,2,FALSE)&amp;RIGHT(playground!L143,4),expense!$A:$G,$F$2,FALSE),0)</f>
        <v>0</v>
      </c>
      <c r="L130" s="14">
        <f>IFERROR(VLOOKUP(VLOOKUP(IFERROR(LEFT(playground!M143,SEARCH("|",playground!M143,1)-1),""),$C:$D,2,FALSE)&amp;RIGHT(playground!M143,4),expense!$A:$G,$F$2,FALSE),0)</f>
        <v>0</v>
      </c>
      <c r="M130" s="14">
        <f>IFERROR(VLOOKUP(VLOOKUP(IFERROR(LEFT(playground!N143,SEARCH("|",playground!N143,1)-1),""),$C:$D,2,FALSE)&amp;RIGHT(playground!N143,4),expense!$A:$G,$F$2,FALSE),0)</f>
        <v>0</v>
      </c>
      <c r="N130" s="14">
        <f t="shared" si="7"/>
        <v>0</v>
      </c>
    </row>
    <row r="131" spans="1:14" x14ac:dyDescent="0.25">
      <c r="A131">
        <v>130</v>
      </c>
      <c r="B131" t="str">
        <f>IF(playground!G144=0,"",playground!G144)</f>
        <v/>
      </c>
      <c r="C131" t="str">
        <f t="shared" ref="C131:C142" si="8">IFERROR(LEFT(B131,SEARCH("|",B131,1)-1),"")</f>
        <v/>
      </c>
      <c r="D131" t="str">
        <f t="shared" ref="D131:D142" si="9">IFERROR(MID(B131, SEARCH("|",B131) + 1, SEARCH("|",B131,SEARCH("|",B131)+1) - SEARCH("|",B131) - 1),"")</f>
        <v/>
      </c>
      <c r="E131" t="str">
        <f t="shared" ref="E131:E142" si="10">IFERROR(RIGHT(B131,LEN(B131) - SEARCH("|", B131, SEARCH("|", B131) + 1)),"")</f>
        <v/>
      </c>
      <c r="G131" s="14">
        <f>IFERROR(VLOOKUP(VLOOKUP(IFERROR(LEFT(playground!H144,SEARCH("|",playground!H144,1)-1),""),$C:$D,2,FALSE)&amp;RIGHT(playground!H144,4),expense!$A:$G,$F$2,FALSE),0)</f>
        <v>0</v>
      </c>
      <c r="H131" s="14">
        <f>IFERROR(VLOOKUP(VLOOKUP(IFERROR(LEFT(playground!I144,SEARCH("|",playground!I144,1)-1),""),$C:$D,2,FALSE)&amp;RIGHT(playground!I144,4),expense!$A:$G,$F$2,FALSE),0)</f>
        <v>0</v>
      </c>
      <c r="I131" s="14">
        <f>IFERROR(VLOOKUP(VLOOKUP(IFERROR(LEFT(playground!J144,SEARCH("|",playground!J144,1)-1),""),$C:$D,2,FALSE)&amp;RIGHT(playground!J144,4),expense!$A:$G,$F$2,FALSE),0)</f>
        <v>0</v>
      </c>
      <c r="J131" s="14">
        <f>IFERROR(VLOOKUP(VLOOKUP(IFERROR(LEFT(playground!K144,SEARCH("|",playground!K144,1)-1),""),$C:$D,2,FALSE)&amp;RIGHT(playground!K144,4),expense!$A:$G,$F$2,FALSE),0)</f>
        <v>0</v>
      </c>
      <c r="K131" s="14">
        <f>IFERROR(VLOOKUP(VLOOKUP(IFERROR(LEFT(playground!L144,SEARCH("|",playground!L144,1)-1),""),$C:$D,2,FALSE)&amp;RIGHT(playground!L144,4),expense!$A:$G,$F$2,FALSE),0)</f>
        <v>0</v>
      </c>
      <c r="L131" s="14">
        <f>IFERROR(VLOOKUP(VLOOKUP(IFERROR(LEFT(playground!M144,SEARCH("|",playground!M144,1)-1),""),$C:$D,2,FALSE)&amp;RIGHT(playground!M144,4),expense!$A:$G,$F$2,FALSE),0)</f>
        <v>0</v>
      </c>
      <c r="M131" s="14">
        <f>IFERROR(VLOOKUP(VLOOKUP(IFERROR(LEFT(playground!N144,SEARCH("|",playground!N144,1)-1),""),$C:$D,2,FALSE)&amp;RIGHT(playground!N144,4),expense!$A:$G,$F$2,FALSE),0)</f>
        <v>0</v>
      </c>
      <c r="N131" s="14">
        <f t="shared" ref="N131:N142" si="11">SUM(G131:M131)</f>
        <v>0</v>
      </c>
    </row>
    <row r="132" spans="1:14" x14ac:dyDescent="0.25">
      <c r="A132">
        <v>131</v>
      </c>
      <c r="B132" t="str">
        <f>IF(playground!G145=0,"",playground!G145)</f>
        <v/>
      </c>
      <c r="C132" t="str">
        <f t="shared" si="8"/>
        <v/>
      </c>
      <c r="D132" t="str">
        <f t="shared" si="9"/>
        <v/>
      </c>
      <c r="E132" t="str">
        <f t="shared" si="10"/>
        <v/>
      </c>
      <c r="G132" s="14">
        <f>IFERROR(VLOOKUP(VLOOKUP(IFERROR(LEFT(playground!H145,SEARCH("|",playground!H145,1)-1),""),$C:$D,2,FALSE)&amp;RIGHT(playground!H145,4),expense!$A:$G,$F$2,FALSE),0)</f>
        <v>0</v>
      </c>
      <c r="H132" s="14">
        <f>IFERROR(VLOOKUP(VLOOKUP(IFERROR(LEFT(playground!I145,SEARCH("|",playground!I145,1)-1),""),$C:$D,2,FALSE)&amp;RIGHT(playground!I145,4),expense!$A:$G,$F$2,FALSE),0)</f>
        <v>0</v>
      </c>
      <c r="I132" s="14">
        <f>IFERROR(VLOOKUP(VLOOKUP(IFERROR(LEFT(playground!J145,SEARCH("|",playground!J145,1)-1),""),$C:$D,2,FALSE)&amp;RIGHT(playground!J145,4),expense!$A:$G,$F$2,FALSE),0)</f>
        <v>0</v>
      </c>
      <c r="J132" s="14">
        <f>IFERROR(VLOOKUP(VLOOKUP(IFERROR(LEFT(playground!K145,SEARCH("|",playground!K145,1)-1),""),$C:$D,2,FALSE)&amp;RIGHT(playground!K145,4),expense!$A:$G,$F$2,FALSE),0)</f>
        <v>0</v>
      </c>
      <c r="K132" s="14">
        <f>IFERROR(VLOOKUP(VLOOKUP(IFERROR(LEFT(playground!L145,SEARCH("|",playground!L145,1)-1),""),$C:$D,2,FALSE)&amp;RIGHT(playground!L145,4),expense!$A:$G,$F$2,FALSE),0)</f>
        <v>0</v>
      </c>
      <c r="L132" s="14">
        <f>IFERROR(VLOOKUP(VLOOKUP(IFERROR(LEFT(playground!M145,SEARCH("|",playground!M145,1)-1),""),$C:$D,2,FALSE)&amp;RIGHT(playground!M145,4),expense!$A:$G,$F$2,FALSE),0)</f>
        <v>0</v>
      </c>
      <c r="M132" s="14">
        <f>IFERROR(VLOOKUP(VLOOKUP(IFERROR(LEFT(playground!N145,SEARCH("|",playground!N145,1)-1),""),$C:$D,2,FALSE)&amp;RIGHT(playground!N145,4),expense!$A:$G,$F$2,FALSE),0)</f>
        <v>0</v>
      </c>
      <c r="N132" s="14">
        <f t="shared" si="11"/>
        <v>0</v>
      </c>
    </row>
    <row r="133" spans="1:14" x14ac:dyDescent="0.25">
      <c r="A133">
        <v>132</v>
      </c>
      <c r="B133" t="str">
        <f>IF(playground!G146=0,"",playground!G146)</f>
        <v/>
      </c>
      <c r="C133" t="str">
        <f t="shared" si="8"/>
        <v/>
      </c>
      <c r="D133" t="str">
        <f t="shared" si="9"/>
        <v/>
      </c>
      <c r="E133" t="str">
        <f t="shared" si="10"/>
        <v/>
      </c>
      <c r="G133" s="14">
        <f>IFERROR(VLOOKUP(VLOOKUP(IFERROR(LEFT(playground!H146,SEARCH("|",playground!H146,1)-1),""),$C:$D,2,FALSE)&amp;RIGHT(playground!H146,4),expense!$A:$G,$F$2,FALSE),0)</f>
        <v>0</v>
      </c>
      <c r="H133" s="14">
        <f>IFERROR(VLOOKUP(VLOOKUP(IFERROR(LEFT(playground!I146,SEARCH("|",playground!I146,1)-1),""),$C:$D,2,FALSE)&amp;RIGHT(playground!I146,4),expense!$A:$G,$F$2,FALSE),0)</f>
        <v>0</v>
      </c>
      <c r="I133" s="14">
        <f>IFERROR(VLOOKUP(VLOOKUP(IFERROR(LEFT(playground!J146,SEARCH("|",playground!J146,1)-1),""),$C:$D,2,FALSE)&amp;RIGHT(playground!J146,4),expense!$A:$G,$F$2,FALSE),0)</f>
        <v>0</v>
      </c>
      <c r="J133" s="14">
        <f>IFERROR(VLOOKUP(VLOOKUP(IFERROR(LEFT(playground!K146,SEARCH("|",playground!K146,1)-1),""),$C:$D,2,FALSE)&amp;RIGHT(playground!K146,4),expense!$A:$G,$F$2,FALSE),0)</f>
        <v>0</v>
      </c>
      <c r="K133" s="14">
        <f>IFERROR(VLOOKUP(VLOOKUP(IFERROR(LEFT(playground!L146,SEARCH("|",playground!L146,1)-1),""),$C:$D,2,FALSE)&amp;RIGHT(playground!L146,4),expense!$A:$G,$F$2,FALSE),0)</f>
        <v>0</v>
      </c>
      <c r="L133" s="14">
        <f>IFERROR(VLOOKUP(VLOOKUP(IFERROR(LEFT(playground!M146,SEARCH("|",playground!M146,1)-1),""),$C:$D,2,FALSE)&amp;RIGHT(playground!M146,4),expense!$A:$G,$F$2,FALSE),0)</f>
        <v>0</v>
      </c>
      <c r="M133" s="14">
        <f>IFERROR(VLOOKUP(VLOOKUP(IFERROR(LEFT(playground!N146,SEARCH("|",playground!N146,1)-1),""),$C:$D,2,FALSE)&amp;RIGHT(playground!N146,4),expense!$A:$G,$F$2,FALSE),0)</f>
        <v>0</v>
      </c>
      <c r="N133" s="14">
        <f t="shared" si="11"/>
        <v>0</v>
      </c>
    </row>
    <row r="134" spans="1:14" x14ac:dyDescent="0.25">
      <c r="A134">
        <v>133</v>
      </c>
      <c r="B134" t="str">
        <f>IF(playground!G147=0,"",playground!G147)</f>
        <v/>
      </c>
      <c r="C134" t="str">
        <f t="shared" si="8"/>
        <v/>
      </c>
      <c r="D134" t="str">
        <f t="shared" si="9"/>
        <v/>
      </c>
      <c r="E134" t="str">
        <f t="shared" si="10"/>
        <v/>
      </c>
      <c r="G134" s="14">
        <f>IFERROR(VLOOKUP(VLOOKUP(IFERROR(LEFT(playground!H147,SEARCH("|",playground!H147,1)-1),""),$C:$D,2,FALSE)&amp;RIGHT(playground!H147,4),expense!$A:$G,$F$2,FALSE),0)</f>
        <v>0</v>
      </c>
      <c r="H134" s="14">
        <f>IFERROR(VLOOKUP(VLOOKUP(IFERROR(LEFT(playground!I147,SEARCH("|",playground!I147,1)-1),""),$C:$D,2,FALSE)&amp;RIGHT(playground!I147,4),expense!$A:$G,$F$2,FALSE),0)</f>
        <v>0</v>
      </c>
      <c r="I134" s="14">
        <f>IFERROR(VLOOKUP(VLOOKUP(IFERROR(LEFT(playground!J147,SEARCH("|",playground!J147,1)-1),""),$C:$D,2,FALSE)&amp;RIGHT(playground!J147,4),expense!$A:$G,$F$2,FALSE),0)</f>
        <v>0</v>
      </c>
      <c r="J134" s="14">
        <f>IFERROR(VLOOKUP(VLOOKUP(IFERROR(LEFT(playground!K147,SEARCH("|",playground!K147,1)-1),""),$C:$D,2,FALSE)&amp;RIGHT(playground!K147,4),expense!$A:$G,$F$2,FALSE),0)</f>
        <v>0</v>
      </c>
      <c r="K134" s="14">
        <f>IFERROR(VLOOKUP(VLOOKUP(IFERROR(LEFT(playground!L147,SEARCH("|",playground!L147,1)-1),""),$C:$D,2,FALSE)&amp;RIGHT(playground!L147,4),expense!$A:$G,$F$2,FALSE),0)</f>
        <v>0</v>
      </c>
      <c r="L134" s="14">
        <f>IFERROR(VLOOKUP(VLOOKUP(IFERROR(LEFT(playground!M147,SEARCH("|",playground!M147,1)-1),""),$C:$D,2,FALSE)&amp;RIGHT(playground!M147,4),expense!$A:$G,$F$2,FALSE),0)</f>
        <v>0</v>
      </c>
      <c r="M134" s="14">
        <f>IFERROR(VLOOKUP(VLOOKUP(IFERROR(LEFT(playground!N147,SEARCH("|",playground!N147,1)-1),""),$C:$D,2,FALSE)&amp;RIGHT(playground!N147,4),expense!$A:$G,$F$2,FALSE),0)</f>
        <v>0</v>
      </c>
      <c r="N134" s="14">
        <f t="shared" si="11"/>
        <v>0</v>
      </c>
    </row>
    <row r="135" spans="1:14" x14ac:dyDescent="0.25">
      <c r="A135">
        <v>134</v>
      </c>
      <c r="B135" t="str">
        <f>IF(playground!G148=0,"",playground!G148)</f>
        <v/>
      </c>
      <c r="C135" t="str">
        <f t="shared" si="8"/>
        <v/>
      </c>
      <c r="D135" t="str">
        <f t="shared" si="9"/>
        <v/>
      </c>
      <c r="E135" t="str">
        <f t="shared" si="10"/>
        <v/>
      </c>
      <c r="G135" s="14">
        <f>IFERROR(VLOOKUP(VLOOKUP(IFERROR(LEFT(playground!H148,SEARCH("|",playground!H148,1)-1),""),$C:$D,2,FALSE)&amp;RIGHT(playground!H148,4),expense!$A:$G,$F$2,FALSE),0)</f>
        <v>0</v>
      </c>
      <c r="H135" s="14">
        <f>IFERROR(VLOOKUP(VLOOKUP(IFERROR(LEFT(playground!I148,SEARCH("|",playground!I148,1)-1),""),$C:$D,2,FALSE)&amp;RIGHT(playground!I148,4),expense!$A:$G,$F$2,FALSE),0)</f>
        <v>0</v>
      </c>
      <c r="I135" s="14">
        <f>IFERROR(VLOOKUP(VLOOKUP(IFERROR(LEFT(playground!J148,SEARCH("|",playground!J148,1)-1),""),$C:$D,2,FALSE)&amp;RIGHT(playground!J148,4),expense!$A:$G,$F$2,FALSE),0)</f>
        <v>0</v>
      </c>
      <c r="J135" s="14">
        <f>IFERROR(VLOOKUP(VLOOKUP(IFERROR(LEFT(playground!K148,SEARCH("|",playground!K148,1)-1),""),$C:$D,2,FALSE)&amp;RIGHT(playground!K148,4),expense!$A:$G,$F$2,FALSE),0)</f>
        <v>0</v>
      </c>
      <c r="K135" s="14">
        <f>IFERROR(VLOOKUP(VLOOKUP(IFERROR(LEFT(playground!L148,SEARCH("|",playground!L148,1)-1),""),$C:$D,2,FALSE)&amp;RIGHT(playground!L148,4),expense!$A:$G,$F$2,FALSE),0)</f>
        <v>0</v>
      </c>
      <c r="L135" s="14">
        <f>IFERROR(VLOOKUP(VLOOKUP(IFERROR(LEFT(playground!M148,SEARCH("|",playground!M148,1)-1),""),$C:$D,2,FALSE)&amp;RIGHT(playground!M148,4),expense!$A:$G,$F$2,FALSE),0)</f>
        <v>0</v>
      </c>
      <c r="M135" s="14">
        <f>IFERROR(VLOOKUP(VLOOKUP(IFERROR(LEFT(playground!N148,SEARCH("|",playground!N148,1)-1),""),$C:$D,2,FALSE)&amp;RIGHT(playground!N148,4),expense!$A:$G,$F$2,FALSE),0)</f>
        <v>0</v>
      </c>
      <c r="N135" s="14">
        <f t="shared" si="11"/>
        <v>0</v>
      </c>
    </row>
    <row r="136" spans="1:14" x14ac:dyDescent="0.25">
      <c r="A136">
        <v>135</v>
      </c>
      <c r="B136" t="str">
        <f>IF(playground!G149=0,"",playground!G149)</f>
        <v/>
      </c>
      <c r="C136" t="str">
        <f t="shared" si="8"/>
        <v/>
      </c>
      <c r="D136" t="str">
        <f t="shared" si="9"/>
        <v/>
      </c>
      <c r="E136" t="str">
        <f t="shared" si="10"/>
        <v/>
      </c>
      <c r="G136" s="14">
        <f>IFERROR(VLOOKUP(VLOOKUP(IFERROR(LEFT(playground!H149,SEARCH("|",playground!H149,1)-1),""),$C:$D,2,FALSE)&amp;RIGHT(playground!H149,4),expense!$A:$G,$F$2,FALSE),0)</f>
        <v>0</v>
      </c>
      <c r="H136" s="14">
        <f>IFERROR(VLOOKUP(VLOOKUP(IFERROR(LEFT(playground!I149,SEARCH("|",playground!I149,1)-1),""),$C:$D,2,FALSE)&amp;RIGHT(playground!I149,4),expense!$A:$G,$F$2,FALSE),0)</f>
        <v>0</v>
      </c>
      <c r="I136" s="14">
        <f>IFERROR(VLOOKUP(VLOOKUP(IFERROR(LEFT(playground!J149,SEARCH("|",playground!J149,1)-1),""),$C:$D,2,FALSE)&amp;RIGHT(playground!J149,4),expense!$A:$G,$F$2,FALSE),0)</f>
        <v>0</v>
      </c>
      <c r="J136" s="14">
        <f>IFERROR(VLOOKUP(VLOOKUP(IFERROR(LEFT(playground!K149,SEARCH("|",playground!K149,1)-1),""),$C:$D,2,FALSE)&amp;RIGHT(playground!K149,4),expense!$A:$G,$F$2,FALSE),0)</f>
        <v>0</v>
      </c>
      <c r="K136" s="14">
        <f>IFERROR(VLOOKUP(VLOOKUP(IFERROR(LEFT(playground!L149,SEARCH("|",playground!L149,1)-1),""),$C:$D,2,FALSE)&amp;RIGHT(playground!L149,4),expense!$A:$G,$F$2,FALSE),0)</f>
        <v>0</v>
      </c>
      <c r="L136" s="14">
        <f>IFERROR(VLOOKUP(VLOOKUP(IFERROR(LEFT(playground!M149,SEARCH("|",playground!M149,1)-1),""),$C:$D,2,FALSE)&amp;RIGHT(playground!M149,4),expense!$A:$G,$F$2,FALSE),0)</f>
        <v>0</v>
      </c>
      <c r="M136" s="14">
        <f>IFERROR(VLOOKUP(VLOOKUP(IFERROR(LEFT(playground!N149,SEARCH("|",playground!N149,1)-1),""),$C:$D,2,FALSE)&amp;RIGHT(playground!N149,4),expense!$A:$G,$F$2,FALSE),0)</f>
        <v>0</v>
      </c>
      <c r="N136" s="14">
        <f t="shared" si="11"/>
        <v>0</v>
      </c>
    </row>
    <row r="137" spans="1:14" x14ac:dyDescent="0.25">
      <c r="A137">
        <v>136</v>
      </c>
      <c r="B137" t="str">
        <f>IF(playground!G150=0,"",playground!G150)</f>
        <v/>
      </c>
      <c r="C137" t="str">
        <f t="shared" si="8"/>
        <v/>
      </c>
      <c r="D137" t="str">
        <f t="shared" si="9"/>
        <v/>
      </c>
      <c r="E137" t="str">
        <f t="shared" si="10"/>
        <v/>
      </c>
      <c r="G137" s="14">
        <f>IFERROR(VLOOKUP(VLOOKUP(IFERROR(LEFT(playground!H150,SEARCH("|",playground!H150,1)-1),""),$C:$D,2,FALSE)&amp;RIGHT(playground!H150,4),expense!$A:$G,$F$2,FALSE),0)</f>
        <v>0</v>
      </c>
      <c r="H137" s="14">
        <f>IFERROR(VLOOKUP(VLOOKUP(IFERROR(LEFT(playground!I150,SEARCH("|",playground!I150,1)-1),""),$C:$D,2,FALSE)&amp;RIGHT(playground!I150,4),expense!$A:$G,$F$2,FALSE),0)</f>
        <v>0</v>
      </c>
      <c r="I137" s="14">
        <f>IFERROR(VLOOKUP(VLOOKUP(IFERROR(LEFT(playground!J150,SEARCH("|",playground!J150,1)-1),""),$C:$D,2,FALSE)&amp;RIGHT(playground!J150,4),expense!$A:$G,$F$2,FALSE),0)</f>
        <v>0</v>
      </c>
      <c r="J137" s="14">
        <f>IFERROR(VLOOKUP(VLOOKUP(IFERROR(LEFT(playground!K150,SEARCH("|",playground!K150,1)-1),""),$C:$D,2,FALSE)&amp;RIGHT(playground!K150,4),expense!$A:$G,$F$2,FALSE),0)</f>
        <v>0</v>
      </c>
      <c r="K137" s="14">
        <f>IFERROR(VLOOKUP(VLOOKUP(IFERROR(LEFT(playground!L150,SEARCH("|",playground!L150,1)-1),""),$C:$D,2,FALSE)&amp;RIGHT(playground!L150,4),expense!$A:$G,$F$2,FALSE),0)</f>
        <v>0</v>
      </c>
      <c r="L137" s="14">
        <f>IFERROR(VLOOKUP(VLOOKUP(IFERROR(LEFT(playground!M150,SEARCH("|",playground!M150,1)-1),""),$C:$D,2,FALSE)&amp;RIGHT(playground!M150,4),expense!$A:$G,$F$2,FALSE),0)</f>
        <v>0</v>
      </c>
      <c r="M137" s="14">
        <f>IFERROR(VLOOKUP(VLOOKUP(IFERROR(LEFT(playground!N150,SEARCH("|",playground!N150,1)-1),""),$C:$D,2,FALSE)&amp;RIGHT(playground!N150,4),expense!$A:$G,$F$2,FALSE),0)</f>
        <v>0</v>
      </c>
      <c r="N137" s="14">
        <f t="shared" si="11"/>
        <v>0</v>
      </c>
    </row>
    <row r="138" spans="1:14" x14ac:dyDescent="0.25">
      <c r="A138">
        <v>137</v>
      </c>
      <c r="B138" t="str">
        <f>IF(playground!G151=0,"",playground!G151)</f>
        <v/>
      </c>
      <c r="C138" t="str">
        <f t="shared" si="8"/>
        <v/>
      </c>
      <c r="D138" t="str">
        <f t="shared" si="9"/>
        <v/>
      </c>
      <c r="E138" t="str">
        <f t="shared" si="10"/>
        <v/>
      </c>
      <c r="G138" s="14">
        <f>IFERROR(VLOOKUP(VLOOKUP(IFERROR(LEFT(playground!H151,SEARCH("|",playground!H151,1)-1),""),$C:$D,2,FALSE)&amp;RIGHT(playground!H151,4),expense!$A:$G,$F$2,FALSE),0)</f>
        <v>0</v>
      </c>
      <c r="H138" s="14">
        <f>IFERROR(VLOOKUP(VLOOKUP(IFERROR(LEFT(playground!I151,SEARCH("|",playground!I151,1)-1),""),$C:$D,2,FALSE)&amp;RIGHT(playground!I151,4),expense!$A:$G,$F$2,FALSE),0)</f>
        <v>0</v>
      </c>
      <c r="I138" s="14">
        <f>IFERROR(VLOOKUP(VLOOKUP(IFERROR(LEFT(playground!J151,SEARCH("|",playground!J151,1)-1),""),$C:$D,2,FALSE)&amp;RIGHT(playground!J151,4),expense!$A:$G,$F$2,FALSE),0)</f>
        <v>0</v>
      </c>
      <c r="J138" s="14">
        <f>IFERROR(VLOOKUP(VLOOKUP(IFERROR(LEFT(playground!K151,SEARCH("|",playground!K151,1)-1),""),$C:$D,2,FALSE)&amp;RIGHT(playground!K151,4),expense!$A:$G,$F$2,FALSE),0)</f>
        <v>0</v>
      </c>
      <c r="K138" s="14">
        <f>IFERROR(VLOOKUP(VLOOKUP(IFERROR(LEFT(playground!L151,SEARCH("|",playground!L151,1)-1),""),$C:$D,2,FALSE)&amp;RIGHT(playground!L151,4),expense!$A:$G,$F$2,FALSE),0)</f>
        <v>0</v>
      </c>
      <c r="L138" s="14">
        <f>IFERROR(VLOOKUP(VLOOKUP(IFERROR(LEFT(playground!M151,SEARCH("|",playground!M151,1)-1),""),$C:$D,2,FALSE)&amp;RIGHT(playground!M151,4),expense!$A:$G,$F$2,FALSE),0)</f>
        <v>0</v>
      </c>
      <c r="M138" s="14">
        <f>IFERROR(VLOOKUP(VLOOKUP(IFERROR(LEFT(playground!N151,SEARCH("|",playground!N151,1)-1),""),$C:$D,2,FALSE)&amp;RIGHT(playground!N151,4),expense!$A:$G,$F$2,FALSE),0)</f>
        <v>0</v>
      </c>
      <c r="N138" s="14">
        <f t="shared" si="11"/>
        <v>0</v>
      </c>
    </row>
    <row r="139" spans="1:14" x14ac:dyDescent="0.25">
      <c r="A139">
        <v>138</v>
      </c>
      <c r="B139" t="str">
        <f>IF(playground!G152=0,"",playground!G152)</f>
        <v/>
      </c>
      <c r="C139" t="str">
        <f t="shared" si="8"/>
        <v/>
      </c>
      <c r="D139" t="str">
        <f t="shared" si="9"/>
        <v/>
      </c>
      <c r="E139" t="str">
        <f t="shared" si="10"/>
        <v/>
      </c>
      <c r="G139" s="14">
        <f>IFERROR(VLOOKUP(VLOOKUP(IFERROR(LEFT(playground!H152,SEARCH("|",playground!H152,1)-1),""),$C:$D,2,FALSE)&amp;RIGHT(playground!H152,4),expense!$A:$G,$F$2,FALSE),0)</f>
        <v>0</v>
      </c>
      <c r="H139" s="14">
        <f>IFERROR(VLOOKUP(VLOOKUP(IFERROR(LEFT(playground!I152,SEARCH("|",playground!I152,1)-1),""),$C:$D,2,FALSE)&amp;RIGHT(playground!I152,4),expense!$A:$G,$F$2,FALSE),0)</f>
        <v>0</v>
      </c>
      <c r="I139" s="14">
        <f>IFERROR(VLOOKUP(VLOOKUP(IFERROR(LEFT(playground!J152,SEARCH("|",playground!J152,1)-1),""),$C:$D,2,FALSE)&amp;RIGHT(playground!J152,4),expense!$A:$G,$F$2,FALSE),0)</f>
        <v>0</v>
      </c>
      <c r="J139" s="14">
        <f>IFERROR(VLOOKUP(VLOOKUP(IFERROR(LEFT(playground!K152,SEARCH("|",playground!K152,1)-1),""),$C:$D,2,FALSE)&amp;RIGHT(playground!K152,4),expense!$A:$G,$F$2,FALSE),0)</f>
        <v>0</v>
      </c>
      <c r="K139" s="14">
        <f>IFERROR(VLOOKUP(VLOOKUP(IFERROR(LEFT(playground!L152,SEARCH("|",playground!L152,1)-1),""),$C:$D,2,FALSE)&amp;RIGHT(playground!L152,4),expense!$A:$G,$F$2,FALSE),0)</f>
        <v>0</v>
      </c>
      <c r="L139" s="14">
        <f>IFERROR(VLOOKUP(VLOOKUP(IFERROR(LEFT(playground!M152,SEARCH("|",playground!M152,1)-1),""),$C:$D,2,FALSE)&amp;RIGHT(playground!M152,4),expense!$A:$G,$F$2,FALSE),0)</f>
        <v>0</v>
      </c>
      <c r="M139" s="14">
        <f>IFERROR(VLOOKUP(VLOOKUP(IFERROR(LEFT(playground!N152,SEARCH("|",playground!N152,1)-1),""),$C:$D,2,FALSE)&amp;RIGHT(playground!N152,4),expense!$A:$G,$F$2,FALSE),0)</f>
        <v>0</v>
      </c>
      <c r="N139" s="14">
        <f t="shared" si="11"/>
        <v>0</v>
      </c>
    </row>
    <row r="140" spans="1:14" x14ac:dyDescent="0.25">
      <c r="A140">
        <v>139</v>
      </c>
      <c r="B140" t="str">
        <f>IF(playground!G153=0,"",playground!G153)</f>
        <v/>
      </c>
      <c r="C140" t="str">
        <f t="shared" si="8"/>
        <v/>
      </c>
      <c r="D140" t="str">
        <f t="shared" si="9"/>
        <v/>
      </c>
      <c r="E140" t="str">
        <f t="shared" si="10"/>
        <v/>
      </c>
      <c r="G140" s="14">
        <f>IFERROR(VLOOKUP(VLOOKUP(IFERROR(LEFT(playground!H153,SEARCH("|",playground!H153,1)-1),""),$C:$D,2,FALSE)&amp;RIGHT(playground!H153,4),expense!$A:$G,$F$2,FALSE),0)</f>
        <v>0</v>
      </c>
      <c r="H140" s="14">
        <f>IFERROR(VLOOKUP(VLOOKUP(IFERROR(LEFT(playground!I153,SEARCH("|",playground!I153,1)-1),""),$C:$D,2,FALSE)&amp;RIGHT(playground!I153,4),expense!$A:$G,$F$2,FALSE),0)</f>
        <v>0</v>
      </c>
      <c r="I140" s="14">
        <f>IFERROR(VLOOKUP(VLOOKUP(IFERROR(LEFT(playground!J153,SEARCH("|",playground!J153,1)-1),""),$C:$D,2,FALSE)&amp;RIGHT(playground!J153,4),expense!$A:$G,$F$2,FALSE),0)</f>
        <v>0</v>
      </c>
      <c r="J140" s="14">
        <f>IFERROR(VLOOKUP(VLOOKUP(IFERROR(LEFT(playground!K153,SEARCH("|",playground!K153,1)-1),""),$C:$D,2,FALSE)&amp;RIGHT(playground!K153,4),expense!$A:$G,$F$2,FALSE),0)</f>
        <v>0</v>
      </c>
      <c r="K140" s="14">
        <f>IFERROR(VLOOKUP(VLOOKUP(IFERROR(LEFT(playground!L153,SEARCH("|",playground!L153,1)-1),""),$C:$D,2,FALSE)&amp;RIGHT(playground!L153,4),expense!$A:$G,$F$2,FALSE),0)</f>
        <v>0</v>
      </c>
      <c r="L140" s="14">
        <f>IFERROR(VLOOKUP(VLOOKUP(IFERROR(LEFT(playground!M153,SEARCH("|",playground!M153,1)-1),""),$C:$D,2,FALSE)&amp;RIGHT(playground!M153,4),expense!$A:$G,$F$2,FALSE),0)</f>
        <v>0</v>
      </c>
      <c r="M140" s="14">
        <f>IFERROR(VLOOKUP(VLOOKUP(IFERROR(LEFT(playground!N153,SEARCH("|",playground!N153,1)-1),""),$C:$D,2,FALSE)&amp;RIGHT(playground!N153,4),expense!$A:$G,$F$2,FALSE),0)</f>
        <v>0</v>
      </c>
      <c r="N140" s="14">
        <f t="shared" si="11"/>
        <v>0</v>
      </c>
    </row>
    <row r="141" spans="1:14" x14ac:dyDescent="0.25">
      <c r="A141">
        <v>140</v>
      </c>
      <c r="B141" t="str">
        <f>IF(playground!G154=0,"",playground!G154)</f>
        <v/>
      </c>
      <c r="C141" t="str">
        <f t="shared" si="8"/>
        <v/>
      </c>
      <c r="D141" t="str">
        <f t="shared" si="9"/>
        <v/>
      </c>
      <c r="E141" t="str">
        <f t="shared" si="10"/>
        <v/>
      </c>
      <c r="G141" s="14">
        <f>IFERROR(VLOOKUP(VLOOKUP(IFERROR(LEFT(playground!H154,SEARCH("|",playground!H154,1)-1),""),$C:$D,2,FALSE)&amp;RIGHT(playground!H154,4),expense!$A:$G,$F$2,FALSE),0)</f>
        <v>0</v>
      </c>
      <c r="H141" s="14">
        <f>IFERROR(VLOOKUP(VLOOKUP(IFERROR(LEFT(playground!I154,SEARCH("|",playground!I154,1)-1),""),$C:$D,2,FALSE)&amp;RIGHT(playground!I154,4),expense!$A:$G,$F$2,FALSE),0)</f>
        <v>0</v>
      </c>
      <c r="I141" s="14">
        <f>IFERROR(VLOOKUP(VLOOKUP(IFERROR(LEFT(playground!J154,SEARCH("|",playground!J154,1)-1),""),$C:$D,2,FALSE)&amp;RIGHT(playground!J154,4),expense!$A:$G,$F$2,FALSE),0)</f>
        <v>0</v>
      </c>
      <c r="J141" s="14">
        <f>IFERROR(VLOOKUP(VLOOKUP(IFERROR(LEFT(playground!K154,SEARCH("|",playground!K154,1)-1),""),$C:$D,2,FALSE)&amp;RIGHT(playground!K154,4),expense!$A:$G,$F$2,FALSE),0)</f>
        <v>0</v>
      </c>
      <c r="K141" s="14">
        <f>IFERROR(VLOOKUP(VLOOKUP(IFERROR(LEFT(playground!L154,SEARCH("|",playground!L154,1)-1),""),$C:$D,2,FALSE)&amp;RIGHT(playground!L154,4),expense!$A:$G,$F$2,FALSE),0)</f>
        <v>0</v>
      </c>
      <c r="L141" s="14">
        <f>IFERROR(VLOOKUP(VLOOKUP(IFERROR(LEFT(playground!M154,SEARCH("|",playground!M154,1)-1),""),$C:$D,2,FALSE)&amp;RIGHT(playground!M154,4),expense!$A:$G,$F$2,FALSE),0)</f>
        <v>0</v>
      </c>
      <c r="M141" s="14">
        <f>IFERROR(VLOOKUP(VLOOKUP(IFERROR(LEFT(playground!N154,SEARCH("|",playground!N154,1)-1),""),$C:$D,2,FALSE)&amp;RIGHT(playground!N154,4),expense!$A:$G,$F$2,FALSE),0)</f>
        <v>0</v>
      </c>
      <c r="N141" s="14">
        <f t="shared" si="11"/>
        <v>0</v>
      </c>
    </row>
    <row r="142" spans="1:14" x14ac:dyDescent="0.25">
      <c r="A142">
        <v>141</v>
      </c>
      <c r="B142" t="str">
        <f>IF(playground!G155=0,"",playground!G155)</f>
        <v/>
      </c>
      <c r="C142" t="str">
        <f t="shared" si="8"/>
        <v/>
      </c>
      <c r="D142" t="str">
        <f t="shared" si="9"/>
        <v/>
      </c>
      <c r="E142" t="str">
        <f t="shared" si="10"/>
        <v/>
      </c>
      <c r="G142" s="14">
        <f>IFERROR(VLOOKUP(VLOOKUP(IFERROR(LEFT(playground!H155,SEARCH("|",playground!H155,1)-1),""),$C:$D,2,FALSE)&amp;RIGHT(playground!H155,4),expense!$A:$G,$F$2,FALSE),0)</f>
        <v>0</v>
      </c>
      <c r="H142" s="14">
        <f>IFERROR(VLOOKUP(VLOOKUP(IFERROR(LEFT(playground!I155,SEARCH("|",playground!I155,1)-1),""),$C:$D,2,FALSE)&amp;RIGHT(playground!I155,4),expense!$A:$G,$F$2,FALSE),0)</f>
        <v>0</v>
      </c>
      <c r="I142" s="14">
        <f>IFERROR(VLOOKUP(VLOOKUP(IFERROR(LEFT(playground!J155,SEARCH("|",playground!J155,1)-1),""),$C:$D,2,FALSE)&amp;RIGHT(playground!J155,4),expense!$A:$G,$F$2,FALSE),0)</f>
        <v>0</v>
      </c>
      <c r="J142" s="14">
        <f>IFERROR(VLOOKUP(VLOOKUP(IFERROR(LEFT(playground!K155,SEARCH("|",playground!K155,1)-1),""),$C:$D,2,FALSE)&amp;RIGHT(playground!K155,4),expense!$A:$G,$F$2,FALSE),0)</f>
        <v>0</v>
      </c>
      <c r="K142" s="14">
        <f>IFERROR(VLOOKUP(VLOOKUP(IFERROR(LEFT(playground!L155,SEARCH("|",playground!L155,1)-1),""),$C:$D,2,FALSE)&amp;RIGHT(playground!L155,4),expense!$A:$G,$F$2,FALSE),0)</f>
        <v>0</v>
      </c>
      <c r="L142" s="14">
        <f>IFERROR(VLOOKUP(VLOOKUP(IFERROR(LEFT(playground!M155,SEARCH("|",playground!M155,1)-1),""),$C:$D,2,FALSE)&amp;RIGHT(playground!M155,4),expense!$A:$G,$F$2,FALSE),0)</f>
        <v>0</v>
      </c>
      <c r="M142" s="14">
        <f>IFERROR(VLOOKUP(VLOOKUP(IFERROR(LEFT(playground!N155,SEARCH("|",playground!N155,1)-1),""),$C:$D,2,FALSE)&amp;RIGHT(playground!N155,4),expense!$A:$G,$F$2,FALSE),0)</f>
        <v>0</v>
      </c>
      <c r="N142" s="14">
        <f t="shared" si="11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O142"/>
  <sheetViews>
    <sheetView workbookViewId="0">
      <pane xSplit="1" ySplit="1" topLeftCell="K89" activePane="bottomRight" state="frozen"/>
      <selection pane="topRight" activeCell="B1" sqref="B1"/>
      <selection pane="bottomLeft" activeCell="A2" sqref="A2"/>
      <selection pane="bottomRight" activeCell="O101" sqref="O7:O101"/>
    </sheetView>
  </sheetViews>
  <sheetFormatPr defaultRowHeight="15" x14ac:dyDescent="0.25"/>
  <cols>
    <col min="2" max="2" width="13.85546875" bestFit="1" customWidth="1"/>
    <col min="3" max="3" width="18" bestFit="1" customWidth="1"/>
    <col min="4" max="4" width="14.28515625" bestFit="1" customWidth="1"/>
    <col min="5" max="5" width="17.42578125" bestFit="1" customWidth="1"/>
    <col min="6" max="6" width="21.5703125" bestFit="1" customWidth="1"/>
    <col min="7" max="7" width="19.85546875" bestFit="1" customWidth="1"/>
    <col min="8" max="8" width="16.28515625" bestFit="1" customWidth="1"/>
    <col min="9" max="9" width="13.85546875" bestFit="1" customWidth="1"/>
    <col min="10" max="10" width="25.5703125" bestFit="1" customWidth="1"/>
    <col min="11" max="11" width="22.85546875" bestFit="1" customWidth="1"/>
    <col min="12" max="12" width="14.42578125" bestFit="1" customWidth="1"/>
    <col min="13" max="13" width="28.85546875" bestFit="1" customWidth="1"/>
    <col min="14" max="14" width="11.7109375" bestFit="1" customWidth="1"/>
    <col min="15" max="15" width="7.28515625" bestFit="1" customWidth="1"/>
  </cols>
  <sheetData>
    <row r="1" spans="1:15" x14ac:dyDescent="0.25">
      <c r="A1" s="4" t="s">
        <v>13</v>
      </c>
      <c r="B1" s="4" t="s">
        <v>26</v>
      </c>
      <c r="C1" s="4" t="s">
        <v>27</v>
      </c>
      <c r="D1" s="4" t="s">
        <v>28</v>
      </c>
      <c r="E1" s="4" t="s">
        <v>29</v>
      </c>
      <c r="F1" s="4" t="s">
        <v>30</v>
      </c>
      <c r="G1" s="4" t="s">
        <v>31</v>
      </c>
      <c r="H1" s="4" t="s">
        <v>32</v>
      </c>
      <c r="I1" s="4" t="s">
        <v>1</v>
      </c>
      <c r="J1" s="4" t="s">
        <v>33</v>
      </c>
      <c r="K1" s="4" t="s">
        <v>34</v>
      </c>
      <c r="L1" s="4" t="s">
        <v>35</v>
      </c>
      <c r="M1" s="4" t="s">
        <v>36</v>
      </c>
      <c r="N1" s="4" t="s">
        <v>37</v>
      </c>
      <c r="O1" s="4" t="s">
        <v>38</v>
      </c>
    </row>
    <row r="2" spans="1:15" x14ac:dyDescent="0.25">
      <c r="A2">
        <v>1</v>
      </c>
      <c r="B2" s="2">
        <v>650</v>
      </c>
      <c r="C2" s="2">
        <v>650</v>
      </c>
      <c r="D2" s="2">
        <v>0</v>
      </c>
      <c r="E2" s="2">
        <v>650</v>
      </c>
      <c r="F2" s="2">
        <v>650</v>
      </c>
      <c r="G2" s="2">
        <v>650</v>
      </c>
      <c r="H2" s="2">
        <v>650</v>
      </c>
      <c r="I2" s="2"/>
      <c r="J2" s="2"/>
      <c r="K2" s="2"/>
      <c r="L2" s="2"/>
      <c r="M2" s="2"/>
      <c r="N2" s="2"/>
      <c r="O2" s="2"/>
    </row>
    <row r="3" spans="1:15" x14ac:dyDescent="0.25">
      <c r="A3">
        <v>2</v>
      </c>
      <c r="B3" s="2">
        <v>121</v>
      </c>
      <c r="C3" s="2">
        <v>121</v>
      </c>
      <c r="D3" s="2">
        <v>0</v>
      </c>
      <c r="E3" s="2">
        <v>121</v>
      </c>
      <c r="F3" s="2">
        <v>121</v>
      </c>
      <c r="G3" s="2">
        <v>21</v>
      </c>
      <c r="H3" s="2">
        <v>121</v>
      </c>
      <c r="I3" s="2"/>
      <c r="J3" s="2"/>
      <c r="K3" s="2"/>
      <c r="L3" s="2"/>
      <c r="M3" s="2"/>
      <c r="N3" s="2"/>
      <c r="O3" s="2"/>
    </row>
    <row r="4" spans="1:15" x14ac:dyDescent="0.25">
      <c r="A4">
        <v>3</v>
      </c>
      <c r="B4" s="2">
        <v>137</v>
      </c>
      <c r="C4" s="2">
        <v>137</v>
      </c>
      <c r="D4" s="2">
        <v>0</v>
      </c>
      <c r="E4" s="2">
        <v>137</v>
      </c>
      <c r="F4" s="2">
        <v>137</v>
      </c>
      <c r="G4" s="2">
        <v>37</v>
      </c>
      <c r="H4" s="2">
        <v>137</v>
      </c>
      <c r="I4" s="2">
        <v>650</v>
      </c>
      <c r="J4" s="2">
        <v>650</v>
      </c>
      <c r="K4" s="2">
        <v>650</v>
      </c>
      <c r="L4" s="2">
        <v>325</v>
      </c>
      <c r="M4" s="2">
        <v>650</v>
      </c>
      <c r="N4" s="2"/>
      <c r="O4" s="2"/>
    </row>
    <row r="5" spans="1:15" x14ac:dyDescent="0.25">
      <c r="A5">
        <v>4</v>
      </c>
      <c r="B5" s="2">
        <v>138</v>
      </c>
      <c r="C5" s="2">
        <v>138</v>
      </c>
      <c r="D5" s="2">
        <v>0</v>
      </c>
      <c r="E5" s="2">
        <v>138</v>
      </c>
      <c r="F5" s="2">
        <v>138</v>
      </c>
      <c r="G5" s="2">
        <v>38</v>
      </c>
      <c r="H5" s="2">
        <v>138</v>
      </c>
      <c r="I5" s="2">
        <v>138</v>
      </c>
      <c r="J5" s="2">
        <v>138</v>
      </c>
      <c r="K5" s="2">
        <v>138</v>
      </c>
      <c r="L5" s="2">
        <v>69</v>
      </c>
      <c r="M5" s="2">
        <v>140</v>
      </c>
      <c r="N5" s="2"/>
      <c r="O5" s="2"/>
    </row>
    <row r="6" spans="1:15" x14ac:dyDescent="0.25">
      <c r="A6">
        <v>5</v>
      </c>
      <c r="B6" s="2">
        <v>175</v>
      </c>
      <c r="C6" s="2">
        <v>175</v>
      </c>
      <c r="D6" s="2">
        <v>0</v>
      </c>
      <c r="E6" s="2">
        <v>175</v>
      </c>
      <c r="F6" s="2">
        <v>175</v>
      </c>
      <c r="G6" s="2">
        <v>75</v>
      </c>
      <c r="H6" s="2">
        <v>175</v>
      </c>
      <c r="I6" s="2">
        <v>175</v>
      </c>
      <c r="J6" s="2">
        <v>175</v>
      </c>
      <c r="K6" s="2">
        <v>175</v>
      </c>
      <c r="L6" s="2">
        <v>87.5</v>
      </c>
      <c r="M6" s="2">
        <v>180</v>
      </c>
      <c r="N6" s="2"/>
      <c r="O6" s="2"/>
    </row>
    <row r="7" spans="1:15" x14ac:dyDescent="0.25">
      <c r="A7">
        <v>6</v>
      </c>
      <c r="B7" s="2">
        <v>164</v>
      </c>
      <c r="C7" s="2">
        <v>164</v>
      </c>
      <c r="D7" s="2">
        <v>0</v>
      </c>
      <c r="E7" s="2">
        <v>164</v>
      </c>
      <c r="F7" s="2">
        <v>164</v>
      </c>
      <c r="G7" s="2">
        <v>64</v>
      </c>
      <c r="H7" s="2">
        <v>164</v>
      </c>
      <c r="I7" s="2">
        <v>164</v>
      </c>
      <c r="J7" s="2">
        <v>164</v>
      </c>
      <c r="K7" s="2">
        <v>164</v>
      </c>
      <c r="L7" s="2">
        <v>82</v>
      </c>
      <c r="M7" s="2">
        <v>157</v>
      </c>
      <c r="N7" s="2">
        <v>650</v>
      </c>
      <c r="O7" s="2">
        <v>650</v>
      </c>
    </row>
    <row r="8" spans="1:15" x14ac:dyDescent="0.25">
      <c r="A8">
        <v>7</v>
      </c>
      <c r="B8" s="2">
        <v>163</v>
      </c>
      <c r="C8" s="2">
        <v>163</v>
      </c>
      <c r="D8" s="2">
        <v>0</v>
      </c>
      <c r="E8" s="2">
        <v>163</v>
      </c>
      <c r="F8" s="2">
        <v>163</v>
      </c>
      <c r="G8" s="2">
        <v>63</v>
      </c>
      <c r="H8" s="2">
        <v>163</v>
      </c>
      <c r="I8" s="2">
        <v>163</v>
      </c>
      <c r="J8" s="2">
        <v>163</v>
      </c>
      <c r="K8" s="2">
        <v>163</v>
      </c>
      <c r="L8" s="2">
        <v>81.5</v>
      </c>
      <c r="M8" s="2">
        <v>165</v>
      </c>
      <c r="N8" s="2">
        <v>163</v>
      </c>
      <c r="O8" s="2">
        <v>163</v>
      </c>
    </row>
    <row r="9" spans="1:15" x14ac:dyDescent="0.25">
      <c r="A9">
        <v>8</v>
      </c>
      <c r="B9" s="2">
        <v>182</v>
      </c>
      <c r="C9" s="2">
        <v>182</v>
      </c>
      <c r="D9" s="2">
        <v>0</v>
      </c>
      <c r="E9" s="2">
        <v>182</v>
      </c>
      <c r="F9" s="2">
        <v>182</v>
      </c>
      <c r="G9" s="2">
        <v>82</v>
      </c>
      <c r="H9" s="2">
        <v>182</v>
      </c>
      <c r="I9" s="2">
        <v>182</v>
      </c>
      <c r="J9" s="2">
        <v>182</v>
      </c>
      <c r="K9" s="2">
        <v>182</v>
      </c>
      <c r="L9" s="2">
        <v>91</v>
      </c>
      <c r="M9" s="2">
        <v>197</v>
      </c>
      <c r="N9" s="2">
        <v>182</v>
      </c>
      <c r="O9" s="2">
        <v>182</v>
      </c>
    </row>
    <row r="10" spans="1:15" x14ac:dyDescent="0.25">
      <c r="A10">
        <v>9</v>
      </c>
      <c r="B10" s="2">
        <v>200</v>
      </c>
      <c r="C10" s="2">
        <v>200</v>
      </c>
      <c r="D10" s="2">
        <v>0</v>
      </c>
      <c r="E10" s="2">
        <v>200</v>
      </c>
      <c r="F10" s="2">
        <v>200</v>
      </c>
      <c r="G10" s="2">
        <v>100</v>
      </c>
      <c r="H10" s="2">
        <v>200</v>
      </c>
      <c r="I10" s="2">
        <v>200</v>
      </c>
      <c r="J10" s="2">
        <v>200</v>
      </c>
      <c r="K10" s="2">
        <v>200</v>
      </c>
      <c r="L10" s="2">
        <v>100</v>
      </c>
      <c r="M10" s="2">
        <v>193</v>
      </c>
      <c r="N10" s="2">
        <v>200</v>
      </c>
      <c r="O10" s="2">
        <v>200</v>
      </c>
    </row>
    <row r="11" spans="1:15" x14ac:dyDescent="0.25">
      <c r="A11">
        <v>10</v>
      </c>
      <c r="B11" s="2">
        <v>199</v>
      </c>
      <c r="C11" s="2">
        <v>199</v>
      </c>
      <c r="D11" s="2">
        <v>0</v>
      </c>
      <c r="E11" s="2">
        <v>199</v>
      </c>
      <c r="F11" s="2">
        <v>199</v>
      </c>
      <c r="G11" s="2">
        <v>99</v>
      </c>
      <c r="H11" s="2">
        <v>199</v>
      </c>
      <c r="I11" s="2">
        <v>199</v>
      </c>
      <c r="J11" s="2">
        <v>199</v>
      </c>
      <c r="K11" s="2">
        <v>199</v>
      </c>
      <c r="L11" s="2">
        <v>99.5</v>
      </c>
      <c r="M11" s="2">
        <v>199</v>
      </c>
      <c r="N11" s="2">
        <v>199</v>
      </c>
      <c r="O11" s="2">
        <v>199</v>
      </c>
    </row>
    <row r="12" spans="1:15" x14ac:dyDescent="0.25">
      <c r="A12">
        <v>11</v>
      </c>
      <c r="B12" s="2">
        <v>314</v>
      </c>
      <c r="C12" s="2">
        <v>314</v>
      </c>
      <c r="D12" s="2">
        <v>0</v>
      </c>
      <c r="E12" s="2">
        <v>314</v>
      </c>
      <c r="F12" s="2">
        <v>314</v>
      </c>
      <c r="G12" s="2">
        <v>214</v>
      </c>
      <c r="H12" s="2">
        <v>314</v>
      </c>
      <c r="I12" s="2">
        <v>314</v>
      </c>
      <c r="J12" s="2">
        <v>314</v>
      </c>
      <c r="K12" s="2">
        <v>314</v>
      </c>
      <c r="L12" s="2">
        <v>157</v>
      </c>
      <c r="M12" s="2">
        <v>320</v>
      </c>
      <c r="N12" s="2">
        <v>314</v>
      </c>
      <c r="O12" s="2">
        <v>314</v>
      </c>
    </row>
    <row r="13" spans="1:15" x14ac:dyDescent="0.25">
      <c r="A13">
        <v>12</v>
      </c>
      <c r="B13" s="2">
        <v>189</v>
      </c>
      <c r="C13" s="2">
        <v>189</v>
      </c>
      <c r="D13" s="2">
        <v>0</v>
      </c>
      <c r="E13" s="2">
        <v>189</v>
      </c>
      <c r="F13" s="2">
        <v>189</v>
      </c>
      <c r="G13" s="2">
        <v>89</v>
      </c>
      <c r="H13" s="2">
        <v>189</v>
      </c>
      <c r="I13" s="2">
        <v>189</v>
      </c>
      <c r="J13" s="2">
        <v>189</v>
      </c>
      <c r="K13" s="2">
        <v>189</v>
      </c>
      <c r="L13" s="2">
        <v>94.5</v>
      </c>
      <c r="M13" s="2">
        <v>220</v>
      </c>
      <c r="N13" s="2">
        <v>189</v>
      </c>
      <c r="O13" s="2">
        <v>189</v>
      </c>
    </row>
    <row r="14" spans="1:15" x14ac:dyDescent="0.25">
      <c r="A14">
        <v>13</v>
      </c>
      <c r="B14" s="2">
        <v>192</v>
      </c>
      <c r="C14" s="2">
        <v>192</v>
      </c>
      <c r="D14" s="2">
        <v>0</v>
      </c>
      <c r="E14" s="2">
        <v>192</v>
      </c>
      <c r="F14" s="2">
        <v>192</v>
      </c>
      <c r="G14" s="2">
        <v>92</v>
      </c>
      <c r="H14" s="2">
        <v>192</v>
      </c>
      <c r="I14" s="2">
        <v>192</v>
      </c>
      <c r="J14" s="2">
        <v>192</v>
      </c>
      <c r="K14" s="2">
        <v>192</v>
      </c>
      <c r="L14" s="2">
        <v>96</v>
      </c>
      <c r="M14" s="2">
        <v>185</v>
      </c>
      <c r="N14" s="2">
        <v>192</v>
      </c>
      <c r="O14" s="2">
        <v>192</v>
      </c>
    </row>
    <row r="15" spans="1:15" x14ac:dyDescent="0.25">
      <c r="A15">
        <v>14</v>
      </c>
      <c r="B15" s="2">
        <v>282</v>
      </c>
      <c r="C15" s="2">
        <v>282</v>
      </c>
      <c r="D15" s="2">
        <v>0</v>
      </c>
      <c r="E15" s="2">
        <v>282</v>
      </c>
      <c r="F15" s="2">
        <v>282</v>
      </c>
      <c r="G15" s="2">
        <v>182</v>
      </c>
      <c r="H15" s="2">
        <v>282</v>
      </c>
      <c r="I15" s="2">
        <v>282</v>
      </c>
      <c r="J15" s="2">
        <v>282</v>
      </c>
      <c r="K15" s="2">
        <v>282</v>
      </c>
      <c r="L15" s="2">
        <v>141</v>
      </c>
      <c r="M15" s="2">
        <v>285</v>
      </c>
      <c r="N15" s="2">
        <v>282</v>
      </c>
      <c r="O15" s="2">
        <v>282</v>
      </c>
    </row>
    <row r="16" spans="1:15" x14ac:dyDescent="0.25">
      <c r="A16">
        <v>15</v>
      </c>
      <c r="B16" s="2">
        <v>259</v>
      </c>
      <c r="C16" s="2">
        <v>259</v>
      </c>
      <c r="D16" s="2">
        <v>0</v>
      </c>
      <c r="E16" s="2">
        <v>259</v>
      </c>
      <c r="F16" s="2">
        <v>259</v>
      </c>
      <c r="G16" s="2">
        <v>159</v>
      </c>
      <c r="H16" s="2">
        <v>259</v>
      </c>
      <c r="I16" s="2">
        <v>259</v>
      </c>
      <c r="J16" s="2">
        <v>259</v>
      </c>
      <c r="K16" s="2">
        <v>259</v>
      </c>
      <c r="L16" s="2">
        <v>129.5</v>
      </c>
      <c r="M16" s="2">
        <v>258</v>
      </c>
      <c r="N16" s="2">
        <v>259</v>
      </c>
      <c r="O16" s="2">
        <v>259</v>
      </c>
    </row>
    <row r="17" spans="1:15" x14ac:dyDescent="0.25">
      <c r="A17">
        <v>16</v>
      </c>
      <c r="B17" s="2">
        <v>266</v>
      </c>
      <c r="C17" s="2">
        <v>266</v>
      </c>
      <c r="D17" s="2">
        <v>0</v>
      </c>
      <c r="E17" s="2">
        <v>266</v>
      </c>
      <c r="F17" s="2">
        <v>266</v>
      </c>
      <c r="G17" s="2">
        <v>166</v>
      </c>
      <c r="H17" s="2">
        <v>266</v>
      </c>
      <c r="I17" s="2">
        <v>266</v>
      </c>
      <c r="J17" s="2">
        <v>266</v>
      </c>
      <c r="K17" s="2">
        <v>266</v>
      </c>
      <c r="L17" s="2">
        <v>133</v>
      </c>
      <c r="M17" s="2">
        <v>331</v>
      </c>
      <c r="N17" s="2">
        <v>266</v>
      </c>
      <c r="O17" s="2">
        <v>266</v>
      </c>
    </row>
    <row r="18" spans="1:15" x14ac:dyDescent="0.25">
      <c r="A18">
        <v>17</v>
      </c>
      <c r="B18" s="2">
        <v>268</v>
      </c>
      <c r="C18" s="2">
        <v>268</v>
      </c>
      <c r="D18" s="2">
        <v>0</v>
      </c>
      <c r="E18" s="2">
        <v>268</v>
      </c>
      <c r="F18" s="2">
        <v>268</v>
      </c>
      <c r="G18" s="2">
        <v>168</v>
      </c>
      <c r="H18" s="2">
        <v>268</v>
      </c>
      <c r="I18" s="2">
        <v>268</v>
      </c>
      <c r="J18" s="2">
        <v>268</v>
      </c>
      <c r="K18" s="2">
        <v>268</v>
      </c>
      <c r="L18" s="2">
        <v>134</v>
      </c>
      <c r="M18" s="2">
        <v>281</v>
      </c>
      <c r="N18" s="2">
        <v>268</v>
      </c>
      <c r="O18" s="2">
        <v>268</v>
      </c>
    </row>
    <row r="19" spans="1:15" x14ac:dyDescent="0.25">
      <c r="A19">
        <v>18</v>
      </c>
      <c r="B19" s="2">
        <v>165</v>
      </c>
      <c r="C19" s="2">
        <v>165</v>
      </c>
      <c r="D19" s="2">
        <v>0</v>
      </c>
      <c r="E19" s="2">
        <v>165</v>
      </c>
      <c r="F19" s="2">
        <v>165</v>
      </c>
      <c r="G19" s="2">
        <v>65</v>
      </c>
      <c r="H19" s="2">
        <v>165</v>
      </c>
      <c r="I19" s="2">
        <v>165</v>
      </c>
      <c r="J19" s="2">
        <v>165</v>
      </c>
      <c r="K19" s="2">
        <v>165</v>
      </c>
      <c r="L19" s="2">
        <v>82.5</v>
      </c>
      <c r="M19" s="2">
        <v>177</v>
      </c>
      <c r="N19" s="2">
        <v>165</v>
      </c>
      <c r="O19" s="2">
        <v>165</v>
      </c>
    </row>
    <row r="20" spans="1:15" x14ac:dyDescent="0.25">
      <c r="A20">
        <v>19</v>
      </c>
      <c r="B20" s="2">
        <v>358</v>
      </c>
      <c r="C20" s="2">
        <v>358</v>
      </c>
      <c r="D20" s="2">
        <v>0</v>
      </c>
      <c r="E20" s="2">
        <v>358</v>
      </c>
      <c r="F20" s="2">
        <v>358</v>
      </c>
      <c r="G20" s="2">
        <v>258</v>
      </c>
      <c r="H20" s="2">
        <v>358</v>
      </c>
      <c r="I20" s="2">
        <v>358</v>
      </c>
      <c r="J20" s="2">
        <v>358</v>
      </c>
      <c r="K20" s="2">
        <v>358</v>
      </c>
      <c r="L20" s="2">
        <v>179</v>
      </c>
      <c r="M20" s="2">
        <v>448</v>
      </c>
      <c r="N20" s="2">
        <v>358</v>
      </c>
      <c r="O20" s="2">
        <v>358</v>
      </c>
    </row>
    <row r="21" spans="1:15" x14ac:dyDescent="0.25">
      <c r="A21">
        <v>20</v>
      </c>
      <c r="B21" s="2">
        <v>260</v>
      </c>
      <c r="C21" s="2">
        <v>260</v>
      </c>
      <c r="D21" s="2">
        <v>20000</v>
      </c>
      <c r="E21" s="2">
        <v>260</v>
      </c>
      <c r="F21" s="2">
        <v>260</v>
      </c>
      <c r="G21" s="2">
        <v>160</v>
      </c>
      <c r="H21" s="2">
        <v>260</v>
      </c>
      <c r="I21" s="2">
        <v>260</v>
      </c>
      <c r="J21" s="2">
        <v>260</v>
      </c>
      <c r="K21" s="2">
        <v>260</v>
      </c>
      <c r="L21" s="2">
        <v>130</v>
      </c>
      <c r="M21" s="2">
        <v>251</v>
      </c>
      <c r="N21" s="2">
        <v>260</v>
      </c>
      <c r="O21" s="2">
        <v>260</v>
      </c>
    </row>
    <row r="22" spans="1:15" x14ac:dyDescent="0.25">
      <c r="A22">
        <v>21</v>
      </c>
      <c r="B22" s="2">
        <v>186</v>
      </c>
      <c r="C22" s="2">
        <v>186</v>
      </c>
      <c r="D22" s="2">
        <v>0</v>
      </c>
      <c r="E22" s="2">
        <v>186</v>
      </c>
      <c r="F22" s="2">
        <v>186</v>
      </c>
      <c r="G22" s="2">
        <v>86</v>
      </c>
      <c r="H22" s="2">
        <v>186</v>
      </c>
      <c r="I22" s="2">
        <v>186</v>
      </c>
      <c r="J22" s="2">
        <v>186</v>
      </c>
      <c r="K22" s="2">
        <v>186</v>
      </c>
      <c r="L22" s="2">
        <v>93</v>
      </c>
      <c r="M22" s="2">
        <v>186</v>
      </c>
      <c r="N22" s="2">
        <v>186</v>
      </c>
      <c r="O22" s="2">
        <v>186</v>
      </c>
    </row>
    <row r="23" spans="1:15" x14ac:dyDescent="0.25">
      <c r="A23">
        <v>22</v>
      </c>
      <c r="B23" s="2">
        <v>351</v>
      </c>
      <c r="C23" s="2">
        <v>351</v>
      </c>
      <c r="D23" s="2">
        <v>0</v>
      </c>
      <c r="E23" s="2">
        <v>351</v>
      </c>
      <c r="F23" s="2">
        <v>351</v>
      </c>
      <c r="G23" s="2">
        <v>251</v>
      </c>
      <c r="H23" s="2">
        <v>351</v>
      </c>
      <c r="I23" s="2">
        <v>351</v>
      </c>
      <c r="J23" s="2">
        <v>351</v>
      </c>
      <c r="K23" s="2">
        <v>351</v>
      </c>
      <c r="L23" s="2">
        <v>175.5</v>
      </c>
      <c r="M23" s="2">
        <v>179</v>
      </c>
      <c r="N23" s="2">
        <v>351</v>
      </c>
      <c r="O23" s="2">
        <v>351</v>
      </c>
    </row>
    <row r="24" spans="1:15" x14ac:dyDescent="0.25">
      <c r="A24">
        <v>23</v>
      </c>
      <c r="B24" s="2">
        <v>298</v>
      </c>
      <c r="C24" s="2">
        <v>298</v>
      </c>
      <c r="D24" s="2">
        <v>0</v>
      </c>
      <c r="E24" s="2">
        <v>298</v>
      </c>
      <c r="F24" s="2">
        <v>298</v>
      </c>
      <c r="G24" s="2">
        <v>198</v>
      </c>
      <c r="H24" s="2">
        <v>298</v>
      </c>
      <c r="I24" s="2">
        <v>298</v>
      </c>
      <c r="J24" s="2">
        <v>298</v>
      </c>
      <c r="K24" s="2">
        <v>298</v>
      </c>
      <c r="L24" s="2">
        <v>149</v>
      </c>
      <c r="M24" s="2">
        <v>298</v>
      </c>
      <c r="N24" s="2">
        <v>298</v>
      </c>
      <c r="O24" s="2">
        <v>298</v>
      </c>
    </row>
    <row r="25" spans="1:15" x14ac:dyDescent="0.25">
      <c r="A25">
        <v>24</v>
      </c>
      <c r="B25" s="2">
        <v>277</v>
      </c>
      <c r="C25" s="2">
        <v>277</v>
      </c>
      <c r="D25" s="2">
        <v>0</v>
      </c>
      <c r="E25" s="2">
        <v>277</v>
      </c>
      <c r="F25" s="2">
        <v>277</v>
      </c>
      <c r="G25" s="2">
        <v>177</v>
      </c>
      <c r="H25" s="2">
        <v>277</v>
      </c>
      <c r="I25" s="2">
        <v>277</v>
      </c>
      <c r="J25" s="2">
        <v>277</v>
      </c>
      <c r="K25" s="2">
        <v>277</v>
      </c>
      <c r="L25" s="2">
        <v>138.5</v>
      </c>
      <c r="M25" s="2">
        <v>358</v>
      </c>
      <c r="N25" s="2">
        <v>277</v>
      </c>
      <c r="O25" s="2">
        <v>277</v>
      </c>
    </row>
    <row r="26" spans="1:15" x14ac:dyDescent="0.25">
      <c r="A26">
        <v>25</v>
      </c>
      <c r="B26" s="2">
        <v>167</v>
      </c>
      <c r="C26" s="2">
        <v>167</v>
      </c>
      <c r="D26" s="2">
        <v>0</v>
      </c>
      <c r="E26" s="2">
        <v>167</v>
      </c>
      <c r="F26" s="2">
        <v>167</v>
      </c>
      <c r="G26" s="2">
        <v>67</v>
      </c>
      <c r="H26" s="2">
        <v>167</v>
      </c>
      <c r="I26" s="2">
        <v>167</v>
      </c>
      <c r="J26" s="2">
        <v>167</v>
      </c>
      <c r="K26" s="2">
        <v>167</v>
      </c>
      <c r="L26" s="2">
        <v>83.5</v>
      </c>
      <c r="M26" s="2">
        <v>147</v>
      </c>
      <c r="N26" s="2">
        <v>167</v>
      </c>
      <c r="O26" s="2">
        <v>167</v>
      </c>
    </row>
    <row r="27" spans="1:15" x14ac:dyDescent="0.25">
      <c r="A27">
        <v>26</v>
      </c>
      <c r="B27" s="2">
        <v>335</v>
      </c>
      <c r="C27" s="2">
        <v>335</v>
      </c>
      <c r="D27" s="2">
        <v>0</v>
      </c>
      <c r="E27" s="2">
        <v>335</v>
      </c>
      <c r="F27" s="2">
        <v>335</v>
      </c>
      <c r="G27" s="2">
        <v>235</v>
      </c>
      <c r="H27" s="2">
        <v>335</v>
      </c>
      <c r="I27" s="2">
        <v>335</v>
      </c>
      <c r="J27" s="2">
        <v>335</v>
      </c>
      <c r="K27" s="2">
        <v>335</v>
      </c>
      <c r="L27" s="2">
        <v>167.5</v>
      </c>
      <c r="M27" s="2">
        <v>345</v>
      </c>
      <c r="N27" s="2">
        <v>335</v>
      </c>
      <c r="O27" s="2">
        <v>335</v>
      </c>
    </row>
    <row r="28" spans="1:15" x14ac:dyDescent="0.25">
      <c r="A28">
        <v>27</v>
      </c>
      <c r="B28" s="2">
        <v>333</v>
      </c>
      <c r="C28" s="2">
        <v>333</v>
      </c>
      <c r="D28" s="2">
        <v>0</v>
      </c>
      <c r="E28" s="2">
        <v>333</v>
      </c>
      <c r="F28" s="2">
        <v>333</v>
      </c>
      <c r="G28" s="2">
        <v>233</v>
      </c>
      <c r="H28" s="2">
        <v>333</v>
      </c>
      <c r="I28" s="2">
        <v>333</v>
      </c>
      <c r="J28" s="2">
        <v>333</v>
      </c>
      <c r="K28" s="2">
        <v>333</v>
      </c>
      <c r="L28" s="2">
        <v>166.5</v>
      </c>
      <c r="M28" s="2">
        <v>454</v>
      </c>
      <c r="N28" s="2">
        <v>333</v>
      </c>
      <c r="O28" s="2">
        <v>333</v>
      </c>
    </row>
    <row r="29" spans="1:15" x14ac:dyDescent="0.25">
      <c r="A29">
        <v>28</v>
      </c>
      <c r="B29" s="2">
        <v>662</v>
      </c>
      <c r="C29" s="2">
        <v>662</v>
      </c>
      <c r="D29" s="2">
        <v>0</v>
      </c>
      <c r="E29" s="2">
        <v>662</v>
      </c>
      <c r="F29" s="2">
        <v>662</v>
      </c>
      <c r="G29" s="2">
        <v>562</v>
      </c>
      <c r="H29" s="2">
        <v>662</v>
      </c>
      <c r="I29" s="2">
        <v>662</v>
      </c>
      <c r="J29" s="2">
        <v>662</v>
      </c>
      <c r="K29" s="2">
        <v>662</v>
      </c>
      <c r="L29" s="2">
        <v>331</v>
      </c>
      <c r="M29" s="2">
        <v>662</v>
      </c>
      <c r="N29" s="2">
        <v>662</v>
      </c>
      <c r="O29" s="2">
        <v>662</v>
      </c>
    </row>
    <row r="30" spans="1:15" x14ac:dyDescent="0.25">
      <c r="A30">
        <v>29</v>
      </c>
      <c r="B30" s="2">
        <v>266</v>
      </c>
      <c r="C30" s="2">
        <v>266</v>
      </c>
      <c r="D30" s="2">
        <v>0</v>
      </c>
      <c r="E30" s="2">
        <v>266</v>
      </c>
      <c r="F30" s="2">
        <v>266</v>
      </c>
      <c r="G30" s="2">
        <v>166</v>
      </c>
      <c r="H30" s="2">
        <v>266</v>
      </c>
      <c r="I30" s="2">
        <v>266</v>
      </c>
      <c r="J30" s="2">
        <v>266</v>
      </c>
      <c r="K30" s="2">
        <v>266</v>
      </c>
      <c r="L30" s="2">
        <v>133</v>
      </c>
      <c r="M30" s="2">
        <v>266</v>
      </c>
      <c r="N30" s="2">
        <v>266</v>
      </c>
      <c r="O30" s="2">
        <v>266</v>
      </c>
    </row>
    <row r="31" spans="1:15" x14ac:dyDescent="0.25">
      <c r="A31">
        <v>30</v>
      </c>
      <c r="B31" s="2">
        <v>389</v>
      </c>
      <c r="C31" s="2">
        <v>389</v>
      </c>
      <c r="D31" s="2">
        <v>0</v>
      </c>
      <c r="E31" s="2">
        <v>389</v>
      </c>
      <c r="F31" s="2">
        <v>389</v>
      </c>
      <c r="G31" s="2">
        <v>289</v>
      </c>
      <c r="H31" s="2">
        <v>389</v>
      </c>
      <c r="I31" s="2">
        <v>389</v>
      </c>
      <c r="J31" s="2">
        <v>389</v>
      </c>
      <c r="K31" s="2">
        <v>389</v>
      </c>
      <c r="L31" s="2">
        <v>194.5</v>
      </c>
      <c r="M31" s="2">
        <v>467</v>
      </c>
      <c r="N31" s="2">
        <v>389</v>
      </c>
      <c r="O31" s="2">
        <v>389</v>
      </c>
    </row>
    <row r="32" spans="1:15" x14ac:dyDescent="0.25">
      <c r="A32">
        <v>31</v>
      </c>
      <c r="B32" s="2">
        <v>337</v>
      </c>
      <c r="C32" s="2">
        <v>337</v>
      </c>
      <c r="D32" s="2">
        <v>0</v>
      </c>
      <c r="E32" s="2">
        <v>337</v>
      </c>
      <c r="F32" s="2">
        <v>337</v>
      </c>
      <c r="G32" s="2">
        <v>237</v>
      </c>
      <c r="H32" s="2">
        <v>337</v>
      </c>
      <c r="I32" s="2">
        <v>337</v>
      </c>
      <c r="J32" s="2">
        <v>337</v>
      </c>
      <c r="K32" s="2">
        <v>337</v>
      </c>
      <c r="L32" s="2">
        <v>168.5</v>
      </c>
      <c r="M32" s="2">
        <v>337</v>
      </c>
      <c r="N32" s="2">
        <v>337</v>
      </c>
      <c r="O32" s="2">
        <v>337</v>
      </c>
    </row>
    <row r="33" spans="1:15" x14ac:dyDescent="0.25">
      <c r="A33">
        <v>32</v>
      </c>
      <c r="B33" s="2">
        <v>537</v>
      </c>
      <c r="C33" s="2">
        <v>537</v>
      </c>
      <c r="D33" s="2">
        <v>0</v>
      </c>
      <c r="E33" s="2">
        <v>537</v>
      </c>
      <c r="F33" s="2">
        <v>537</v>
      </c>
      <c r="G33" s="2">
        <v>437</v>
      </c>
      <c r="H33" s="2">
        <v>537</v>
      </c>
      <c r="I33" s="2">
        <v>537</v>
      </c>
      <c r="J33" s="2">
        <v>537</v>
      </c>
      <c r="K33" s="2">
        <v>537</v>
      </c>
      <c r="L33" s="2">
        <v>268.5</v>
      </c>
      <c r="M33" s="2">
        <v>606</v>
      </c>
      <c r="N33" s="2">
        <v>537</v>
      </c>
      <c r="O33" s="2">
        <v>537</v>
      </c>
    </row>
    <row r="34" spans="1:15" x14ac:dyDescent="0.25">
      <c r="A34">
        <v>33</v>
      </c>
      <c r="B34" s="2">
        <v>627</v>
      </c>
      <c r="C34" s="2">
        <v>627</v>
      </c>
      <c r="D34" s="2">
        <v>0</v>
      </c>
      <c r="E34" s="2">
        <v>627</v>
      </c>
      <c r="F34" s="2">
        <v>627</v>
      </c>
      <c r="G34" s="2">
        <v>527</v>
      </c>
      <c r="H34" s="2">
        <v>627</v>
      </c>
      <c r="I34" s="2">
        <v>627</v>
      </c>
      <c r="J34" s="2">
        <v>627</v>
      </c>
      <c r="K34" s="2">
        <v>627</v>
      </c>
      <c r="L34" s="2">
        <v>313.5</v>
      </c>
      <c r="M34" s="2">
        <v>762</v>
      </c>
      <c r="N34" s="2">
        <v>627</v>
      </c>
      <c r="O34" s="2">
        <v>627</v>
      </c>
    </row>
    <row r="35" spans="1:15" x14ac:dyDescent="0.25">
      <c r="A35">
        <v>34</v>
      </c>
      <c r="B35" s="2">
        <v>205</v>
      </c>
      <c r="C35" s="2">
        <v>205</v>
      </c>
      <c r="D35" s="2">
        <v>0</v>
      </c>
      <c r="E35" s="2">
        <v>205</v>
      </c>
      <c r="F35" s="2">
        <v>205</v>
      </c>
      <c r="G35" s="2">
        <v>105</v>
      </c>
      <c r="H35" s="2">
        <v>205</v>
      </c>
      <c r="I35" s="2">
        <v>205</v>
      </c>
      <c r="J35" s="2">
        <v>205</v>
      </c>
      <c r="K35" s="2">
        <v>205</v>
      </c>
      <c r="L35" s="2">
        <v>102.5</v>
      </c>
      <c r="M35" s="2">
        <v>179</v>
      </c>
      <c r="N35" s="2">
        <v>205</v>
      </c>
      <c r="O35" s="2">
        <v>205</v>
      </c>
    </row>
    <row r="36" spans="1:15" x14ac:dyDescent="0.25">
      <c r="A36">
        <v>35</v>
      </c>
      <c r="B36" s="2">
        <v>912</v>
      </c>
      <c r="C36" s="2">
        <v>912</v>
      </c>
      <c r="D36" s="2">
        <v>0</v>
      </c>
      <c r="E36" s="2">
        <v>912</v>
      </c>
      <c r="F36" s="2">
        <v>912</v>
      </c>
      <c r="G36" s="2">
        <v>812</v>
      </c>
      <c r="H36" s="2">
        <v>912</v>
      </c>
      <c r="I36" s="2">
        <v>912</v>
      </c>
      <c r="J36" s="2">
        <v>912</v>
      </c>
      <c r="K36" s="2">
        <v>912</v>
      </c>
      <c r="L36" s="2">
        <v>456</v>
      </c>
      <c r="M36" s="2">
        <v>1016</v>
      </c>
      <c r="N36" s="2">
        <v>912</v>
      </c>
      <c r="O36" s="2">
        <v>912</v>
      </c>
    </row>
    <row r="37" spans="1:15" x14ac:dyDescent="0.25">
      <c r="A37">
        <v>36</v>
      </c>
      <c r="B37" s="2">
        <v>1150</v>
      </c>
      <c r="C37" s="2">
        <v>1150</v>
      </c>
      <c r="D37" s="2">
        <v>0</v>
      </c>
      <c r="E37" s="2">
        <v>1150</v>
      </c>
      <c r="F37" s="2">
        <v>1150</v>
      </c>
      <c r="G37" s="2">
        <v>1050</v>
      </c>
      <c r="H37" s="2">
        <v>1150</v>
      </c>
      <c r="I37" s="2">
        <v>1150</v>
      </c>
      <c r="J37" s="2">
        <v>1150</v>
      </c>
      <c r="K37" s="2">
        <v>1150</v>
      </c>
      <c r="L37" s="2">
        <v>575</v>
      </c>
      <c r="M37" s="2">
        <v>1300</v>
      </c>
      <c r="N37" s="2">
        <v>1150</v>
      </c>
      <c r="O37" s="2">
        <v>1150</v>
      </c>
    </row>
    <row r="38" spans="1:15" x14ac:dyDescent="0.25">
      <c r="A38">
        <v>37</v>
      </c>
      <c r="B38" s="2">
        <v>896</v>
      </c>
      <c r="C38" s="2">
        <v>896</v>
      </c>
      <c r="D38" s="2">
        <v>0</v>
      </c>
      <c r="E38" s="2">
        <v>896</v>
      </c>
      <c r="F38" s="2">
        <v>896</v>
      </c>
      <c r="G38" s="2">
        <v>796</v>
      </c>
      <c r="H38" s="2">
        <v>896</v>
      </c>
      <c r="I38" s="2">
        <v>896</v>
      </c>
      <c r="J38" s="2">
        <v>896</v>
      </c>
      <c r="K38" s="2">
        <v>896</v>
      </c>
      <c r="L38" s="2">
        <v>448</v>
      </c>
      <c r="M38" s="2">
        <v>756</v>
      </c>
      <c r="N38" s="2">
        <v>896</v>
      </c>
      <c r="O38" s="2">
        <v>896</v>
      </c>
    </row>
    <row r="39" spans="1:15" x14ac:dyDescent="0.25">
      <c r="A39">
        <v>38</v>
      </c>
      <c r="B39" s="2">
        <v>1339</v>
      </c>
      <c r="C39" s="2">
        <v>1339</v>
      </c>
      <c r="D39" s="2">
        <v>0</v>
      </c>
      <c r="E39" s="2">
        <v>1339</v>
      </c>
      <c r="F39" s="2">
        <v>1339</v>
      </c>
      <c r="G39" s="2">
        <v>1239</v>
      </c>
      <c r="H39" s="2">
        <v>1339</v>
      </c>
      <c r="I39" s="2">
        <v>1339</v>
      </c>
      <c r="J39" s="2">
        <v>1339</v>
      </c>
      <c r="K39" s="2">
        <v>1339</v>
      </c>
      <c r="L39" s="2">
        <v>669.5</v>
      </c>
      <c r="M39" s="2">
        <v>1408</v>
      </c>
      <c r="N39" s="2">
        <v>1339</v>
      </c>
      <c r="O39" s="2">
        <v>1339</v>
      </c>
    </row>
    <row r="40" spans="1:15" x14ac:dyDescent="0.25">
      <c r="A40">
        <v>39</v>
      </c>
      <c r="B40" s="2">
        <v>1277</v>
      </c>
      <c r="C40" s="2">
        <v>1277</v>
      </c>
      <c r="D40" s="2">
        <v>0</v>
      </c>
      <c r="E40" s="2">
        <v>1277</v>
      </c>
      <c r="F40" s="2">
        <v>1277</v>
      </c>
      <c r="G40" s="2">
        <v>1177</v>
      </c>
      <c r="H40" s="2">
        <v>1277</v>
      </c>
      <c r="I40" s="2">
        <v>1277</v>
      </c>
      <c r="J40" s="2">
        <v>1277</v>
      </c>
      <c r="K40" s="2">
        <v>1277</v>
      </c>
      <c r="L40" s="2">
        <v>638.5</v>
      </c>
      <c r="M40" s="2">
        <v>1533</v>
      </c>
      <c r="N40" s="2">
        <v>1277</v>
      </c>
      <c r="O40" s="2">
        <v>1277</v>
      </c>
    </row>
    <row r="41" spans="1:15" x14ac:dyDescent="0.25">
      <c r="A41">
        <v>40</v>
      </c>
      <c r="B41" s="2">
        <v>1759</v>
      </c>
      <c r="C41" s="2">
        <v>1759</v>
      </c>
      <c r="D41" s="2">
        <v>0</v>
      </c>
      <c r="E41" s="2">
        <v>1759</v>
      </c>
      <c r="F41" s="2">
        <v>1759</v>
      </c>
      <c r="G41" s="2">
        <v>1659</v>
      </c>
      <c r="H41" s="2">
        <v>1759</v>
      </c>
      <c r="I41" s="2">
        <v>1759</v>
      </c>
      <c r="J41" s="2">
        <v>1759</v>
      </c>
      <c r="K41" s="2">
        <v>1759</v>
      </c>
      <c r="L41" s="2">
        <v>879.5</v>
      </c>
      <c r="M41" s="2">
        <v>1508</v>
      </c>
      <c r="N41" s="2">
        <v>1759</v>
      </c>
      <c r="O41" s="2">
        <v>1759</v>
      </c>
    </row>
    <row r="42" spans="1:15" x14ac:dyDescent="0.25">
      <c r="A42">
        <v>41</v>
      </c>
      <c r="B42" s="2">
        <v>521</v>
      </c>
      <c r="C42" s="2">
        <v>521</v>
      </c>
      <c r="D42" s="2">
        <v>0</v>
      </c>
      <c r="E42" s="2">
        <v>521</v>
      </c>
      <c r="F42" s="2">
        <v>521</v>
      </c>
      <c r="G42" s="2">
        <v>421</v>
      </c>
      <c r="H42" s="2">
        <v>521</v>
      </c>
      <c r="I42" s="2">
        <v>521</v>
      </c>
      <c r="J42" s="2">
        <v>521</v>
      </c>
      <c r="K42" s="2">
        <v>521</v>
      </c>
      <c r="L42" s="2">
        <v>260.5</v>
      </c>
      <c r="M42" s="2">
        <v>521</v>
      </c>
      <c r="N42" s="2">
        <v>521</v>
      </c>
      <c r="O42" s="2">
        <v>521</v>
      </c>
    </row>
    <row r="43" spans="1:15" x14ac:dyDescent="0.25">
      <c r="A43">
        <v>42</v>
      </c>
      <c r="B43" s="2">
        <v>2181</v>
      </c>
      <c r="C43" s="2">
        <v>2181</v>
      </c>
      <c r="D43" s="2">
        <v>0</v>
      </c>
      <c r="E43" s="2">
        <v>2181</v>
      </c>
      <c r="F43" s="2">
        <v>2181</v>
      </c>
      <c r="G43" s="2">
        <v>2081</v>
      </c>
      <c r="H43" s="2">
        <v>2181</v>
      </c>
      <c r="I43" s="2">
        <v>2181</v>
      </c>
      <c r="J43" s="2">
        <v>2181</v>
      </c>
      <c r="K43" s="2">
        <v>2181</v>
      </c>
      <c r="L43" s="2">
        <v>1090.5</v>
      </c>
      <c r="M43" s="2">
        <v>2411</v>
      </c>
      <c r="N43" s="2">
        <v>2181</v>
      </c>
      <c r="O43" s="2">
        <v>2181</v>
      </c>
    </row>
    <row r="44" spans="1:15" x14ac:dyDescent="0.25">
      <c r="A44">
        <v>43</v>
      </c>
      <c r="B44" s="2">
        <v>659</v>
      </c>
      <c r="C44" s="2">
        <v>659</v>
      </c>
      <c r="D44" s="2">
        <v>0</v>
      </c>
      <c r="E44" s="2">
        <v>659</v>
      </c>
      <c r="F44" s="2">
        <v>659</v>
      </c>
      <c r="G44" s="2">
        <v>559</v>
      </c>
      <c r="H44" s="2">
        <v>659</v>
      </c>
      <c r="I44" s="2">
        <v>659</v>
      </c>
      <c r="J44" s="2">
        <v>659</v>
      </c>
      <c r="K44" s="2">
        <v>659</v>
      </c>
      <c r="L44" s="2">
        <v>329.5</v>
      </c>
      <c r="M44" s="2">
        <v>659</v>
      </c>
      <c r="N44" s="2">
        <v>659</v>
      </c>
      <c r="O44" s="2">
        <v>659</v>
      </c>
    </row>
    <row r="45" spans="1:15" x14ac:dyDescent="0.25">
      <c r="A45">
        <v>44</v>
      </c>
      <c r="B45" s="2">
        <v>1278</v>
      </c>
      <c r="C45" s="2">
        <v>1278</v>
      </c>
      <c r="D45" s="2">
        <v>0</v>
      </c>
      <c r="E45" s="2">
        <v>1278</v>
      </c>
      <c r="F45" s="2">
        <v>1278</v>
      </c>
      <c r="G45" s="2">
        <v>1178</v>
      </c>
      <c r="H45" s="2">
        <v>1278</v>
      </c>
      <c r="I45" s="2">
        <v>1278</v>
      </c>
      <c r="J45" s="2">
        <v>1278</v>
      </c>
      <c r="K45" s="2">
        <v>1278</v>
      </c>
      <c r="L45" s="2">
        <v>639</v>
      </c>
      <c r="M45" s="2">
        <v>1375</v>
      </c>
      <c r="N45" s="2">
        <v>1278</v>
      </c>
      <c r="O45" s="2">
        <v>1278</v>
      </c>
    </row>
    <row r="46" spans="1:15" x14ac:dyDescent="0.25">
      <c r="A46">
        <v>45</v>
      </c>
      <c r="B46" s="2">
        <v>1294</v>
      </c>
      <c r="C46" s="2">
        <v>1294</v>
      </c>
      <c r="D46" s="2">
        <v>0</v>
      </c>
      <c r="E46" s="2">
        <v>1294</v>
      </c>
      <c r="F46" s="2">
        <v>1294</v>
      </c>
      <c r="G46" s="2">
        <v>1194</v>
      </c>
      <c r="H46" s="2">
        <v>1294</v>
      </c>
      <c r="I46" s="2">
        <v>1294</v>
      </c>
      <c r="J46" s="2">
        <v>1294</v>
      </c>
      <c r="K46" s="2">
        <v>1294</v>
      </c>
      <c r="L46" s="2">
        <v>647</v>
      </c>
      <c r="M46" s="2">
        <v>1294</v>
      </c>
      <c r="N46" s="2">
        <v>1294</v>
      </c>
      <c r="O46" s="2">
        <v>1294</v>
      </c>
    </row>
    <row r="47" spans="1:15" x14ac:dyDescent="0.25">
      <c r="A47">
        <v>46</v>
      </c>
      <c r="B47" s="2">
        <v>2422</v>
      </c>
      <c r="C47" s="2">
        <v>2422</v>
      </c>
      <c r="D47" s="2">
        <v>0</v>
      </c>
      <c r="E47" s="2">
        <v>2422</v>
      </c>
      <c r="F47" s="2">
        <v>2422</v>
      </c>
      <c r="G47" s="2">
        <v>2322</v>
      </c>
      <c r="H47" s="2">
        <v>2422</v>
      </c>
      <c r="I47" s="2">
        <v>2422</v>
      </c>
      <c r="J47" s="2">
        <v>2422</v>
      </c>
      <c r="K47" s="2">
        <v>2422</v>
      </c>
      <c r="L47" s="2">
        <v>1211</v>
      </c>
      <c r="M47" s="2">
        <v>1897</v>
      </c>
      <c r="N47" s="2">
        <v>2422</v>
      </c>
      <c r="O47" s="2">
        <v>2422</v>
      </c>
    </row>
    <row r="48" spans="1:15" x14ac:dyDescent="0.25">
      <c r="A48">
        <v>47</v>
      </c>
      <c r="B48" s="2">
        <v>716</v>
      </c>
      <c r="C48" s="2">
        <v>716</v>
      </c>
      <c r="D48" s="2">
        <v>0</v>
      </c>
      <c r="E48" s="2">
        <v>716</v>
      </c>
      <c r="F48" s="2">
        <v>716</v>
      </c>
      <c r="G48" s="2">
        <v>616</v>
      </c>
      <c r="H48" s="2">
        <v>716</v>
      </c>
      <c r="I48" s="2">
        <v>716</v>
      </c>
      <c r="J48" s="2">
        <v>716</v>
      </c>
      <c r="K48" s="2">
        <v>716</v>
      </c>
      <c r="L48" s="2">
        <v>358</v>
      </c>
      <c r="M48" s="2">
        <v>906</v>
      </c>
      <c r="N48" s="2">
        <v>716</v>
      </c>
      <c r="O48" s="2">
        <v>716</v>
      </c>
    </row>
    <row r="49" spans="1:15" x14ac:dyDescent="0.25">
      <c r="A49">
        <v>48</v>
      </c>
      <c r="B49" s="2">
        <v>1637</v>
      </c>
      <c r="C49" s="2">
        <v>1637</v>
      </c>
      <c r="D49" s="2">
        <v>0</v>
      </c>
      <c r="E49" s="2">
        <v>1637</v>
      </c>
      <c r="F49" s="2">
        <v>1637</v>
      </c>
      <c r="G49" s="2">
        <v>1537</v>
      </c>
      <c r="H49" s="2">
        <v>1637</v>
      </c>
      <c r="I49" s="2">
        <v>1637</v>
      </c>
      <c r="J49" s="2">
        <v>1637</v>
      </c>
      <c r="K49" s="2">
        <v>1637</v>
      </c>
      <c r="L49" s="2">
        <v>818.5</v>
      </c>
      <c r="M49" s="2">
        <v>1640</v>
      </c>
      <c r="N49" s="2">
        <v>1637</v>
      </c>
      <c r="O49" s="2">
        <v>1637</v>
      </c>
    </row>
    <row r="50" spans="1:15" x14ac:dyDescent="0.25">
      <c r="A50">
        <v>49</v>
      </c>
      <c r="B50" s="2">
        <v>2843</v>
      </c>
      <c r="C50" s="2">
        <v>2843</v>
      </c>
      <c r="D50" s="2">
        <v>0</v>
      </c>
      <c r="E50" s="2">
        <v>2843</v>
      </c>
      <c r="F50" s="2">
        <v>2843</v>
      </c>
      <c r="G50" s="2">
        <v>2743</v>
      </c>
      <c r="H50" s="2">
        <v>2843</v>
      </c>
      <c r="I50" s="2">
        <v>2843</v>
      </c>
      <c r="J50" s="2">
        <v>2843</v>
      </c>
      <c r="K50" s="2">
        <v>2843</v>
      </c>
      <c r="L50" s="2">
        <v>1421.5</v>
      </c>
      <c r="M50" s="2">
        <v>1988</v>
      </c>
      <c r="N50" s="2">
        <v>2843</v>
      </c>
      <c r="O50" s="2">
        <v>2843</v>
      </c>
    </row>
    <row r="51" spans="1:15" x14ac:dyDescent="0.25">
      <c r="A51">
        <v>50</v>
      </c>
      <c r="B51" s="2">
        <v>4758</v>
      </c>
      <c r="C51" s="2">
        <v>4758</v>
      </c>
      <c r="D51" s="2">
        <v>0</v>
      </c>
      <c r="E51" s="2">
        <v>4758</v>
      </c>
      <c r="F51" s="2">
        <v>4758</v>
      </c>
      <c r="G51" s="2">
        <v>4658</v>
      </c>
      <c r="H51" s="2">
        <v>4758</v>
      </c>
      <c r="I51" s="2">
        <v>4758</v>
      </c>
      <c r="J51" s="2">
        <v>4758</v>
      </c>
      <c r="K51" s="2">
        <v>4758</v>
      </c>
      <c r="L51" s="2">
        <v>2379</v>
      </c>
      <c r="M51" s="2">
        <v>3849</v>
      </c>
      <c r="N51" s="2">
        <v>4758</v>
      </c>
      <c r="O51" s="2">
        <v>4758</v>
      </c>
    </row>
    <row r="52" spans="1:15" x14ac:dyDescent="0.25">
      <c r="A52">
        <v>51</v>
      </c>
      <c r="B52" s="2">
        <v>3016</v>
      </c>
      <c r="C52" s="2">
        <v>3016</v>
      </c>
      <c r="D52" s="2">
        <v>0</v>
      </c>
      <c r="E52" s="2">
        <v>3016</v>
      </c>
      <c r="F52" s="2">
        <v>3016</v>
      </c>
      <c r="G52" s="2">
        <v>2916</v>
      </c>
      <c r="H52" s="2">
        <v>3016</v>
      </c>
      <c r="I52" s="2">
        <v>3016</v>
      </c>
      <c r="J52" s="2">
        <v>3016</v>
      </c>
      <c r="K52" s="2">
        <v>3016</v>
      </c>
      <c r="L52" s="2">
        <v>1508</v>
      </c>
      <c r="M52" s="2">
        <v>2620</v>
      </c>
      <c r="N52" s="2">
        <v>3016</v>
      </c>
      <c r="O52" s="2">
        <v>3016</v>
      </c>
    </row>
    <row r="53" spans="1:15" x14ac:dyDescent="0.25">
      <c r="A53">
        <v>52</v>
      </c>
      <c r="B53" s="2">
        <v>1098.5</v>
      </c>
      <c r="C53" s="2">
        <v>1098.5</v>
      </c>
      <c r="D53" s="2">
        <v>0</v>
      </c>
      <c r="E53" s="2">
        <v>1098.5</v>
      </c>
      <c r="F53" s="2">
        <v>1098.5</v>
      </c>
      <c r="G53" s="2">
        <v>998.5</v>
      </c>
      <c r="H53" s="2">
        <v>1098.5</v>
      </c>
      <c r="I53" s="2">
        <v>1098.5</v>
      </c>
      <c r="J53" s="2">
        <v>1098.5</v>
      </c>
      <c r="K53" s="2">
        <v>1098.5</v>
      </c>
      <c r="L53" s="2">
        <v>549.25</v>
      </c>
      <c r="M53" s="2">
        <v>1596</v>
      </c>
      <c r="N53" s="2">
        <v>1098.5</v>
      </c>
      <c r="O53" s="2">
        <v>1098.5</v>
      </c>
    </row>
    <row r="54" spans="1:15" x14ac:dyDescent="0.25">
      <c r="A54">
        <v>53</v>
      </c>
      <c r="B54" s="2">
        <v>1595.5</v>
      </c>
      <c r="C54" s="2">
        <v>1595.5</v>
      </c>
      <c r="D54" s="2">
        <v>0</v>
      </c>
      <c r="E54" s="2">
        <v>1595.5</v>
      </c>
      <c r="F54" s="2">
        <v>1595.5</v>
      </c>
      <c r="G54" s="2">
        <v>1495.5</v>
      </c>
      <c r="H54" s="2">
        <v>1595.5</v>
      </c>
      <c r="I54" s="2">
        <v>1595.5</v>
      </c>
      <c r="J54" s="2">
        <v>1595.5</v>
      </c>
      <c r="K54" s="2">
        <v>1595.5</v>
      </c>
      <c r="L54" s="2">
        <v>797.75</v>
      </c>
      <c r="M54" s="2">
        <v>1830.5</v>
      </c>
      <c r="N54" s="2">
        <v>1595.5</v>
      </c>
      <c r="O54" s="2">
        <v>1595.5</v>
      </c>
    </row>
    <row r="55" spans="1:15" x14ac:dyDescent="0.25">
      <c r="A55">
        <v>54</v>
      </c>
      <c r="B55" s="2">
        <v>924.5</v>
      </c>
      <c r="C55" s="2">
        <v>924.5</v>
      </c>
      <c r="D55" s="2">
        <v>0</v>
      </c>
      <c r="E55" s="2">
        <v>924.5</v>
      </c>
      <c r="F55" s="2">
        <v>924.5</v>
      </c>
      <c r="G55" s="2">
        <v>824.5</v>
      </c>
      <c r="H55" s="2">
        <v>924.5</v>
      </c>
      <c r="I55" s="2">
        <v>924.5</v>
      </c>
      <c r="J55" s="2">
        <v>924.5</v>
      </c>
      <c r="K55" s="2">
        <v>924.5</v>
      </c>
      <c r="L55" s="2">
        <v>462.25</v>
      </c>
      <c r="M55" s="2">
        <v>1024.5</v>
      </c>
      <c r="N55" s="2">
        <v>924.5</v>
      </c>
      <c r="O55" s="2">
        <v>924.5</v>
      </c>
    </row>
    <row r="56" spans="1:15" x14ac:dyDescent="0.25">
      <c r="A56">
        <v>55</v>
      </c>
      <c r="B56" s="2">
        <v>2197.5</v>
      </c>
      <c r="C56" s="2">
        <v>2197.5</v>
      </c>
      <c r="D56" s="2">
        <v>0</v>
      </c>
      <c r="E56" s="2">
        <v>2197.5</v>
      </c>
      <c r="F56" s="2">
        <v>2197.5</v>
      </c>
      <c r="G56" s="2">
        <v>2097.5</v>
      </c>
      <c r="H56" s="2">
        <v>2197.5</v>
      </c>
      <c r="I56" s="2">
        <v>2197.5</v>
      </c>
      <c r="J56" s="2">
        <v>2197.5</v>
      </c>
      <c r="K56" s="2">
        <v>2197.5</v>
      </c>
      <c r="L56" s="2">
        <v>1098.75</v>
      </c>
      <c r="M56" s="2">
        <v>1299.5</v>
      </c>
      <c r="N56" s="2">
        <v>2197.5</v>
      </c>
      <c r="O56" s="2">
        <v>2197.5</v>
      </c>
    </row>
    <row r="57" spans="1:15" x14ac:dyDescent="0.25">
      <c r="A57">
        <v>56</v>
      </c>
      <c r="B57" s="2">
        <v>2483</v>
      </c>
      <c r="C57" s="2">
        <v>2483</v>
      </c>
      <c r="D57" s="2">
        <v>0</v>
      </c>
      <c r="E57" s="2">
        <v>2483</v>
      </c>
      <c r="F57" s="2">
        <v>2483</v>
      </c>
      <c r="G57" s="2">
        <v>2383</v>
      </c>
      <c r="H57" s="2">
        <v>2483</v>
      </c>
      <c r="I57" s="2">
        <v>2483</v>
      </c>
      <c r="J57" s="2">
        <v>2483</v>
      </c>
      <c r="K57" s="2">
        <v>2483</v>
      </c>
      <c r="L57" s="2">
        <v>1241.5</v>
      </c>
      <c r="M57" s="2">
        <v>2483</v>
      </c>
      <c r="N57" s="2">
        <v>2483</v>
      </c>
      <c r="O57" s="2">
        <v>2483</v>
      </c>
    </row>
    <row r="58" spans="1:15" x14ac:dyDescent="0.25">
      <c r="A58">
        <v>57</v>
      </c>
      <c r="B58" s="2">
        <v>1286.5</v>
      </c>
      <c r="C58" s="2">
        <v>1286.5</v>
      </c>
      <c r="D58" s="2">
        <v>0</v>
      </c>
      <c r="E58" s="2">
        <v>1286.5</v>
      </c>
      <c r="F58" s="2">
        <v>1286.5</v>
      </c>
      <c r="G58" s="2">
        <v>1186.5</v>
      </c>
      <c r="H58" s="2">
        <v>1286.5</v>
      </c>
      <c r="I58" s="2">
        <v>1286.5</v>
      </c>
      <c r="J58" s="2">
        <v>1286.5</v>
      </c>
      <c r="K58" s="2">
        <v>1286.5</v>
      </c>
      <c r="L58" s="2">
        <v>643.25</v>
      </c>
      <c r="M58" s="2">
        <v>1328.5</v>
      </c>
      <c r="N58" s="2">
        <v>1286.5</v>
      </c>
      <c r="O58" s="2">
        <v>1286.5</v>
      </c>
    </row>
    <row r="59" spans="1:15" x14ac:dyDescent="0.25">
      <c r="A59">
        <v>58</v>
      </c>
      <c r="B59" s="2">
        <v>1859</v>
      </c>
      <c r="C59" s="2">
        <v>1859</v>
      </c>
      <c r="D59" s="2">
        <v>0</v>
      </c>
      <c r="E59" s="2">
        <v>1859</v>
      </c>
      <c r="F59" s="2">
        <v>1859</v>
      </c>
      <c r="G59" s="2">
        <v>1759</v>
      </c>
      <c r="H59" s="2">
        <v>1859</v>
      </c>
      <c r="I59" s="2">
        <v>1859</v>
      </c>
      <c r="J59" s="2">
        <v>1859</v>
      </c>
      <c r="K59" s="2">
        <v>1859</v>
      </c>
      <c r="L59" s="2">
        <v>929.5</v>
      </c>
      <c r="M59" s="2">
        <v>2488</v>
      </c>
      <c r="N59" s="2">
        <v>1859</v>
      </c>
      <c r="O59" s="2">
        <v>1859</v>
      </c>
    </row>
    <row r="60" spans="1:15" x14ac:dyDescent="0.25">
      <c r="A60">
        <v>59</v>
      </c>
      <c r="B60" s="2">
        <v>2298</v>
      </c>
      <c r="C60" s="2">
        <v>2298</v>
      </c>
      <c r="D60" s="2">
        <v>0</v>
      </c>
      <c r="E60" s="2">
        <v>2298</v>
      </c>
      <c r="F60" s="2">
        <v>2298</v>
      </c>
      <c r="G60" s="2">
        <v>2198</v>
      </c>
      <c r="H60" s="2">
        <v>2298</v>
      </c>
      <c r="I60" s="2">
        <v>2298</v>
      </c>
      <c r="J60" s="2">
        <v>2298</v>
      </c>
      <c r="K60" s="2">
        <v>2298</v>
      </c>
      <c r="L60" s="2">
        <v>1149</v>
      </c>
      <c r="M60" s="2">
        <v>3250.5</v>
      </c>
      <c r="N60" s="2">
        <v>2298</v>
      </c>
      <c r="O60" s="2">
        <v>2298</v>
      </c>
    </row>
    <row r="61" spans="1:15" x14ac:dyDescent="0.25">
      <c r="A61">
        <v>60</v>
      </c>
      <c r="B61" s="2">
        <v>2159</v>
      </c>
      <c r="C61" s="2">
        <v>2159</v>
      </c>
      <c r="D61" s="2">
        <v>0</v>
      </c>
      <c r="E61" s="2">
        <v>2159</v>
      </c>
      <c r="F61" s="2">
        <v>2159</v>
      </c>
      <c r="G61" s="2">
        <v>2059</v>
      </c>
      <c r="H61" s="2">
        <v>2159</v>
      </c>
      <c r="I61" s="2">
        <v>2159</v>
      </c>
      <c r="J61" s="2">
        <v>2159</v>
      </c>
      <c r="K61" s="2">
        <v>2159</v>
      </c>
      <c r="L61" s="2">
        <v>1079.5</v>
      </c>
      <c r="M61" s="2">
        <v>2271.5</v>
      </c>
      <c r="N61" s="2">
        <v>2159</v>
      </c>
      <c r="O61" s="2">
        <v>2159</v>
      </c>
    </row>
    <row r="62" spans="1:15" x14ac:dyDescent="0.25">
      <c r="A62">
        <v>61</v>
      </c>
      <c r="B62" s="2">
        <v>922.5</v>
      </c>
      <c r="C62" s="2">
        <v>922.5</v>
      </c>
      <c r="D62" s="2">
        <v>0</v>
      </c>
      <c r="E62" s="2">
        <v>922.5</v>
      </c>
      <c r="F62" s="2">
        <v>922.5</v>
      </c>
      <c r="G62" s="2">
        <v>822.5</v>
      </c>
      <c r="H62" s="2">
        <v>922.5</v>
      </c>
      <c r="I62" s="2">
        <v>922.5</v>
      </c>
      <c r="J62" s="2">
        <v>922.5</v>
      </c>
      <c r="K62" s="2">
        <v>922.5</v>
      </c>
      <c r="L62" s="2">
        <v>461.25</v>
      </c>
      <c r="M62" s="2">
        <v>922.5</v>
      </c>
      <c r="N62" s="2">
        <v>922.5</v>
      </c>
      <c r="O62" s="2">
        <v>922.5</v>
      </c>
    </row>
    <row r="63" spans="1:15" x14ac:dyDescent="0.25">
      <c r="A63">
        <v>62</v>
      </c>
      <c r="B63" s="2">
        <v>1232</v>
      </c>
      <c r="C63" s="2">
        <v>1232</v>
      </c>
      <c r="D63" s="2">
        <v>0</v>
      </c>
      <c r="E63" s="2">
        <v>1232</v>
      </c>
      <c r="F63" s="2">
        <v>1232</v>
      </c>
      <c r="G63" s="2">
        <v>1132</v>
      </c>
      <c r="H63" s="2">
        <v>1232</v>
      </c>
      <c r="I63" s="2">
        <v>1232</v>
      </c>
      <c r="J63" s="2">
        <v>1232</v>
      </c>
      <c r="K63" s="2">
        <v>1232</v>
      </c>
      <c r="L63" s="2">
        <v>616</v>
      </c>
      <c r="M63" s="2">
        <v>1603</v>
      </c>
      <c r="N63" s="2">
        <v>1232</v>
      </c>
      <c r="O63" s="2">
        <v>1232</v>
      </c>
    </row>
    <row r="64" spans="1:15" x14ac:dyDescent="0.25">
      <c r="A64">
        <v>63</v>
      </c>
      <c r="B64" s="2">
        <v>1386.4</v>
      </c>
      <c r="C64" s="2">
        <v>1386.4</v>
      </c>
      <c r="D64" s="2">
        <v>0</v>
      </c>
      <c r="E64" s="2">
        <v>1386.4</v>
      </c>
      <c r="F64" s="2">
        <v>1386.4</v>
      </c>
      <c r="G64" s="2">
        <v>1286.4000000000001</v>
      </c>
      <c r="H64" s="2">
        <v>1386.4</v>
      </c>
      <c r="I64" s="2">
        <v>1386.4</v>
      </c>
      <c r="J64" s="2">
        <v>1386.4</v>
      </c>
      <c r="K64" s="2">
        <v>1386.4</v>
      </c>
      <c r="L64" s="2">
        <v>693.2</v>
      </c>
      <c r="M64" s="2">
        <v>1772</v>
      </c>
      <c r="N64" s="2">
        <v>1386.4</v>
      </c>
      <c r="O64" s="2">
        <v>1386.4</v>
      </c>
    </row>
    <row r="65" spans="1:15" x14ac:dyDescent="0.25">
      <c r="A65">
        <v>64</v>
      </c>
      <c r="B65" s="2">
        <v>2826</v>
      </c>
      <c r="C65" s="2">
        <v>2826</v>
      </c>
      <c r="D65" s="2">
        <v>0</v>
      </c>
      <c r="E65" s="2">
        <v>2826</v>
      </c>
      <c r="F65" s="2">
        <v>2826</v>
      </c>
      <c r="G65" s="2">
        <v>2726</v>
      </c>
      <c r="H65" s="2">
        <v>2826</v>
      </c>
      <c r="I65" s="2">
        <v>2826</v>
      </c>
      <c r="J65" s="2">
        <v>2826</v>
      </c>
      <c r="K65" s="2">
        <v>2826</v>
      </c>
      <c r="L65" s="2">
        <v>1413</v>
      </c>
      <c r="M65" s="2">
        <v>2634</v>
      </c>
      <c r="N65" s="2">
        <v>2826</v>
      </c>
      <c r="O65" s="2">
        <v>2826</v>
      </c>
    </row>
    <row r="66" spans="1:15" x14ac:dyDescent="0.25">
      <c r="A66">
        <v>65</v>
      </c>
      <c r="B66" s="2">
        <v>849.8</v>
      </c>
      <c r="C66" s="2">
        <v>849.8</v>
      </c>
      <c r="D66" s="2">
        <v>0</v>
      </c>
      <c r="E66" s="2">
        <v>849.8</v>
      </c>
      <c r="F66" s="2">
        <v>849.8</v>
      </c>
      <c r="G66" s="2">
        <v>749.8</v>
      </c>
      <c r="H66" s="2">
        <v>849.8</v>
      </c>
      <c r="I66" s="2">
        <v>849.8</v>
      </c>
      <c r="J66" s="2">
        <v>849.8</v>
      </c>
      <c r="K66" s="2">
        <v>849.8</v>
      </c>
      <c r="L66" s="2">
        <v>424.9</v>
      </c>
      <c r="M66" s="2">
        <v>1231.2</v>
      </c>
      <c r="N66" s="2">
        <v>849.8</v>
      </c>
      <c r="O66" s="2">
        <v>849.8</v>
      </c>
    </row>
    <row r="67" spans="1:15" x14ac:dyDescent="0.25">
      <c r="A67">
        <v>66</v>
      </c>
      <c r="B67" s="2">
        <v>3071.6</v>
      </c>
      <c r="C67" s="2">
        <v>3071.6</v>
      </c>
      <c r="D67" s="2">
        <v>0</v>
      </c>
      <c r="E67" s="2">
        <v>3071.6</v>
      </c>
      <c r="F67" s="2">
        <v>3071.6</v>
      </c>
      <c r="G67" s="2">
        <v>2971.6</v>
      </c>
      <c r="H67" s="2">
        <v>3071.6</v>
      </c>
      <c r="I67" s="2">
        <v>3071.6</v>
      </c>
      <c r="J67" s="2">
        <v>3071.6</v>
      </c>
      <c r="K67" s="2">
        <v>3071.6</v>
      </c>
      <c r="L67" s="2">
        <v>1535.8</v>
      </c>
      <c r="M67" s="2">
        <v>2916.6</v>
      </c>
      <c r="N67" s="2">
        <v>3071.6</v>
      </c>
      <c r="O67" s="2">
        <v>3071.6</v>
      </c>
    </row>
    <row r="68" spans="1:15" x14ac:dyDescent="0.25">
      <c r="A68">
        <v>67</v>
      </c>
      <c r="B68" s="2">
        <v>1004.2</v>
      </c>
      <c r="C68" s="2">
        <v>1004.2</v>
      </c>
      <c r="D68" s="2">
        <v>0</v>
      </c>
      <c r="E68" s="2">
        <v>1004.2</v>
      </c>
      <c r="F68" s="2">
        <v>1004.2</v>
      </c>
      <c r="G68" s="2">
        <v>904.2</v>
      </c>
      <c r="H68" s="2">
        <v>1004.2</v>
      </c>
      <c r="I68" s="2">
        <v>1004.2</v>
      </c>
      <c r="J68" s="2">
        <v>1004.2</v>
      </c>
      <c r="K68" s="2">
        <v>1004.2</v>
      </c>
      <c r="L68" s="2">
        <v>502.1</v>
      </c>
      <c r="M68" s="2">
        <v>1538.2</v>
      </c>
      <c r="N68" s="2">
        <v>1004.2</v>
      </c>
      <c r="O68" s="2">
        <v>1004.2</v>
      </c>
    </row>
    <row r="69" spans="1:15" x14ac:dyDescent="0.25">
      <c r="A69">
        <v>68</v>
      </c>
      <c r="B69" s="2">
        <v>1023.6</v>
      </c>
      <c r="C69" s="2">
        <v>1023.6</v>
      </c>
      <c r="D69" s="2">
        <v>0</v>
      </c>
      <c r="E69" s="2">
        <v>1023.6</v>
      </c>
      <c r="F69" s="2">
        <v>1023.6</v>
      </c>
      <c r="G69" s="2">
        <v>923.6</v>
      </c>
      <c r="H69" s="2">
        <v>1023.6</v>
      </c>
      <c r="I69" s="2">
        <v>1023.6</v>
      </c>
      <c r="J69" s="2">
        <v>1023.6</v>
      </c>
      <c r="K69" s="2">
        <v>1023.6</v>
      </c>
      <c r="L69" s="2">
        <v>511.8</v>
      </c>
      <c r="M69" s="2">
        <v>1309</v>
      </c>
      <c r="N69" s="2">
        <v>1023.6</v>
      </c>
      <c r="O69" s="2">
        <v>1023.6</v>
      </c>
    </row>
    <row r="70" spans="1:15" x14ac:dyDescent="0.25">
      <c r="A70">
        <v>69</v>
      </c>
      <c r="B70" s="2">
        <v>777.8</v>
      </c>
      <c r="C70" s="2">
        <v>777.8</v>
      </c>
      <c r="D70" s="2">
        <v>0</v>
      </c>
      <c r="E70" s="2">
        <v>777.8</v>
      </c>
      <c r="F70" s="2">
        <v>777.8</v>
      </c>
      <c r="G70" s="2">
        <v>677.8</v>
      </c>
      <c r="H70" s="2">
        <v>777.8</v>
      </c>
      <c r="I70" s="2">
        <v>777.8</v>
      </c>
      <c r="J70" s="2">
        <v>777.8</v>
      </c>
      <c r="K70" s="2">
        <v>777.8</v>
      </c>
      <c r="L70" s="2">
        <v>388.9</v>
      </c>
      <c r="M70" s="2">
        <v>777.8</v>
      </c>
      <c r="N70" s="2">
        <v>777.8</v>
      </c>
      <c r="O70" s="2">
        <v>777.8</v>
      </c>
    </row>
    <row r="71" spans="1:15" x14ac:dyDescent="0.25">
      <c r="A71">
        <v>70</v>
      </c>
      <c r="B71" s="2">
        <v>1391</v>
      </c>
      <c r="C71" s="2">
        <v>1391</v>
      </c>
      <c r="D71" s="2">
        <v>0</v>
      </c>
      <c r="E71" s="2">
        <v>1391</v>
      </c>
      <c r="F71" s="2">
        <v>1391</v>
      </c>
      <c r="G71" s="2">
        <v>1291</v>
      </c>
      <c r="H71" s="2">
        <v>1391</v>
      </c>
      <c r="I71" s="2">
        <v>1391</v>
      </c>
      <c r="J71" s="2">
        <v>1391</v>
      </c>
      <c r="K71" s="2">
        <v>1391</v>
      </c>
      <c r="L71" s="2">
        <v>695.5</v>
      </c>
      <c r="M71" s="2">
        <v>1295</v>
      </c>
      <c r="N71" s="2">
        <v>1391</v>
      </c>
      <c r="O71" s="2">
        <v>1391</v>
      </c>
    </row>
    <row r="72" spans="1:15" x14ac:dyDescent="0.25">
      <c r="A72">
        <v>71</v>
      </c>
      <c r="B72" s="2">
        <v>2618.8000000000002</v>
      </c>
      <c r="C72" s="2">
        <v>2618.8000000000002</v>
      </c>
      <c r="D72" s="2">
        <v>0</v>
      </c>
      <c r="E72" s="2">
        <v>2618.8000000000002</v>
      </c>
      <c r="F72" s="2">
        <v>2618.8000000000002</v>
      </c>
      <c r="G72" s="2">
        <v>2518.8000000000002</v>
      </c>
      <c r="H72" s="2">
        <v>2618.8000000000002</v>
      </c>
      <c r="I72" s="2">
        <v>2618.8000000000002</v>
      </c>
      <c r="J72" s="2">
        <v>2618.8000000000002</v>
      </c>
      <c r="K72" s="2">
        <v>2618.8000000000002</v>
      </c>
      <c r="L72" s="2">
        <v>1309.4000000000001</v>
      </c>
      <c r="M72" s="2">
        <v>2507.1999999999998</v>
      </c>
      <c r="N72" s="2">
        <v>2618.8000000000002</v>
      </c>
      <c r="O72" s="2">
        <v>2618.8000000000002</v>
      </c>
    </row>
    <row r="73" spans="1:15" x14ac:dyDescent="0.25">
      <c r="A73">
        <v>72</v>
      </c>
      <c r="B73" s="2">
        <v>1503</v>
      </c>
      <c r="C73" s="2">
        <v>1503</v>
      </c>
      <c r="D73" s="2">
        <v>0</v>
      </c>
      <c r="E73" s="2">
        <v>1503</v>
      </c>
      <c r="F73" s="2">
        <v>1503</v>
      </c>
      <c r="G73" s="2">
        <v>1403</v>
      </c>
      <c r="H73" s="2">
        <v>1503</v>
      </c>
      <c r="I73" s="2">
        <v>1503</v>
      </c>
      <c r="J73" s="2">
        <v>1503</v>
      </c>
      <c r="K73" s="2">
        <v>1503</v>
      </c>
      <c r="L73" s="2">
        <v>751.5</v>
      </c>
      <c r="M73" s="2">
        <v>1503</v>
      </c>
      <c r="N73" s="2">
        <v>1503</v>
      </c>
      <c r="O73" s="2">
        <v>1503</v>
      </c>
    </row>
    <row r="74" spans="1:15" x14ac:dyDescent="0.25">
      <c r="A74">
        <v>73</v>
      </c>
      <c r="B74" s="2">
        <v>1504</v>
      </c>
      <c r="C74" s="2">
        <v>1504</v>
      </c>
      <c r="D74" s="2">
        <v>0</v>
      </c>
      <c r="E74" s="2">
        <v>1504</v>
      </c>
      <c r="F74" s="2">
        <v>1504</v>
      </c>
      <c r="G74" s="2">
        <v>1404</v>
      </c>
      <c r="H74" s="2">
        <v>1504</v>
      </c>
      <c r="I74" s="2">
        <v>1504</v>
      </c>
      <c r="J74" s="2">
        <v>1504</v>
      </c>
      <c r="K74" s="2">
        <v>1504</v>
      </c>
      <c r="L74" s="2">
        <v>752</v>
      </c>
      <c r="M74" s="2">
        <v>1504</v>
      </c>
      <c r="N74" s="2">
        <v>1504</v>
      </c>
      <c r="O74" s="2">
        <v>1504</v>
      </c>
    </row>
    <row r="75" spans="1:15" x14ac:dyDescent="0.25">
      <c r="A75">
        <v>74</v>
      </c>
      <c r="B75" s="2">
        <v>1392.6</v>
      </c>
      <c r="C75" s="2">
        <v>1392.6</v>
      </c>
      <c r="D75" s="2">
        <v>0</v>
      </c>
      <c r="E75" s="2">
        <v>1392.6</v>
      </c>
      <c r="F75" s="2">
        <v>1392.6</v>
      </c>
      <c r="G75" s="2">
        <v>1292.5999999999999</v>
      </c>
      <c r="H75" s="2">
        <v>1392.6</v>
      </c>
      <c r="I75" s="2">
        <v>1392.6</v>
      </c>
      <c r="J75" s="2">
        <v>1392.6</v>
      </c>
      <c r="K75" s="2">
        <v>1392.6</v>
      </c>
      <c r="L75" s="2">
        <v>696.3</v>
      </c>
      <c r="M75" s="2">
        <v>1392.6</v>
      </c>
      <c r="N75" s="2">
        <v>1392.6</v>
      </c>
      <c r="O75" s="2">
        <v>1392.6</v>
      </c>
    </row>
    <row r="76" spans="1:15" x14ac:dyDescent="0.25">
      <c r="A76">
        <v>75</v>
      </c>
      <c r="B76" s="2">
        <v>3044</v>
      </c>
      <c r="C76" s="2">
        <v>3044</v>
      </c>
      <c r="D76" s="2">
        <v>0</v>
      </c>
      <c r="E76" s="2">
        <v>3044</v>
      </c>
      <c r="F76" s="2">
        <v>3044</v>
      </c>
      <c r="G76" s="2">
        <v>2944</v>
      </c>
      <c r="H76" s="2">
        <v>3044</v>
      </c>
      <c r="I76" s="2">
        <v>3044</v>
      </c>
      <c r="J76" s="2">
        <v>3044</v>
      </c>
      <c r="K76" s="2">
        <v>3044</v>
      </c>
      <c r="L76" s="2">
        <v>1522</v>
      </c>
      <c r="M76" s="2">
        <v>1174</v>
      </c>
      <c r="N76" s="2">
        <v>3044</v>
      </c>
      <c r="O76" s="2">
        <v>3044</v>
      </c>
    </row>
    <row r="77" spans="1:15" x14ac:dyDescent="0.25">
      <c r="A77">
        <v>76</v>
      </c>
      <c r="B77" s="2">
        <v>2667.4</v>
      </c>
      <c r="C77" s="2">
        <v>2667.4</v>
      </c>
      <c r="D77" s="2">
        <v>0</v>
      </c>
      <c r="E77" s="2">
        <v>2667.4</v>
      </c>
      <c r="F77" s="2">
        <v>2667.4</v>
      </c>
      <c r="G77" s="2">
        <v>2567.4</v>
      </c>
      <c r="H77" s="2">
        <v>2667.4</v>
      </c>
      <c r="I77" s="2">
        <v>2667.4</v>
      </c>
      <c r="J77" s="2">
        <v>2667.4</v>
      </c>
      <c r="K77" s="2">
        <v>2667.4</v>
      </c>
      <c r="L77" s="2">
        <v>1333.7</v>
      </c>
      <c r="M77" s="2">
        <v>3214.2</v>
      </c>
      <c r="N77" s="2">
        <v>2667.4</v>
      </c>
      <c r="O77" s="2">
        <v>2667.4</v>
      </c>
    </row>
    <row r="78" spans="1:15" x14ac:dyDescent="0.25">
      <c r="A78">
        <v>77</v>
      </c>
      <c r="B78" s="2">
        <v>1316</v>
      </c>
      <c r="C78" s="2">
        <v>1316</v>
      </c>
      <c r="D78" s="2">
        <v>0</v>
      </c>
      <c r="E78" s="2">
        <v>1316</v>
      </c>
      <c r="F78" s="2">
        <v>1316</v>
      </c>
      <c r="G78" s="2">
        <v>1216</v>
      </c>
      <c r="H78" s="2">
        <v>1316</v>
      </c>
      <c r="I78" s="2">
        <v>1316</v>
      </c>
      <c r="J78" s="2">
        <v>1316</v>
      </c>
      <c r="K78" s="2">
        <v>1316</v>
      </c>
      <c r="L78" s="2">
        <v>658</v>
      </c>
      <c r="M78" s="2">
        <v>3226</v>
      </c>
      <c r="N78" s="2">
        <v>1316</v>
      </c>
      <c r="O78" s="2">
        <v>1316</v>
      </c>
    </row>
    <row r="79" spans="1:15" x14ac:dyDescent="0.25">
      <c r="A79">
        <v>78</v>
      </c>
      <c r="B79" s="2">
        <v>2540.1999999999998</v>
      </c>
      <c r="C79" s="2">
        <v>2540.1999999999998</v>
      </c>
      <c r="D79" s="2">
        <v>0</v>
      </c>
      <c r="E79" s="2">
        <v>2540.1999999999998</v>
      </c>
      <c r="F79" s="2">
        <v>2540.1999999999998</v>
      </c>
      <c r="G79" s="2">
        <v>2440.1999999999998</v>
      </c>
      <c r="H79" s="2">
        <v>2540.1999999999998</v>
      </c>
      <c r="I79" s="2">
        <v>2540.1999999999998</v>
      </c>
      <c r="J79" s="2">
        <v>2540.1999999999998</v>
      </c>
      <c r="K79" s="2">
        <v>2540.1999999999998</v>
      </c>
      <c r="L79" s="2">
        <v>1270.0999999999999</v>
      </c>
      <c r="M79" s="2">
        <v>2540.1999999999998</v>
      </c>
      <c r="N79" s="2">
        <v>2540.1999999999998</v>
      </c>
      <c r="O79" s="2">
        <v>2540.1999999999998</v>
      </c>
    </row>
    <row r="80" spans="1:15" x14ac:dyDescent="0.25">
      <c r="A80">
        <v>79</v>
      </c>
      <c r="B80" s="2">
        <v>4862</v>
      </c>
      <c r="C80" s="2">
        <v>4862</v>
      </c>
      <c r="D80" s="2">
        <v>0</v>
      </c>
      <c r="E80" s="2">
        <v>4862</v>
      </c>
      <c r="F80" s="2">
        <v>4862</v>
      </c>
      <c r="G80" s="2">
        <v>4762</v>
      </c>
      <c r="H80" s="2">
        <v>4862</v>
      </c>
      <c r="I80" s="2">
        <v>4862</v>
      </c>
      <c r="J80" s="2">
        <v>4862</v>
      </c>
      <c r="K80" s="2">
        <v>4862</v>
      </c>
      <c r="L80" s="2">
        <v>2431</v>
      </c>
      <c r="M80" s="2">
        <v>3857</v>
      </c>
      <c r="N80" s="2">
        <v>4862</v>
      </c>
      <c r="O80" s="2">
        <v>4862</v>
      </c>
    </row>
    <row r="81" spans="1:15" x14ac:dyDescent="0.25">
      <c r="A81">
        <v>80</v>
      </c>
      <c r="B81" s="2">
        <v>6709</v>
      </c>
      <c r="C81" s="2">
        <v>6709</v>
      </c>
      <c r="D81" s="2">
        <v>0</v>
      </c>
      <c r="E81" s="2">
        <v>6709</v>
      </c>
      <c r="F81" s="2">
        <v>6709</v>
      </c>
      <c r="G81" s="2">
        <v>6609</v>
      </c>
      <c r="H81" s="2">
        <v>6709</v>
      </c>
      <c r="I81" s="2">
        <v>6709</v>
      </c>
      <c r="J81" s="2">
        <v>6709</v>
      </c>
      <c r="K81" s="2">
        <v>6709</v>
      </c>
      <c r="L81" s="2">
        <v>3354.5</v>
      </c>
      <c r="M81" s="2">
        <v>7319.2</v>
      </c>
      <c r="N81" s="2">
        <v>6709</v>
      </c>
      <c r="O81" s="2">
        <v>6709</v>
      </c>
    </row>
    <row r="82" spans="1:15" x14ac:dyDescent="0.25">
      <c r="A82">
        <v>81</v>
      </c>
      <c r="B82" s="2">
        <v>1400.2</v>
      </c>
      <c r="C82" s="2">
        <v>1400.2</v>
      </c>
      <c r="D82" s="2">
        <v>0</v>
      </c>
      <c r="E82" s="2">
        <v>1400.2</v>
      </c>
      <c r="F82" s="2">
        <v>1400.2</v>
      </c>
      <c r="G82" s="2">
        <v>1300.2</v>
      </c>
      <c r="H82" s="2">
        <v>1400.2</v>
      </c>
      <c r="I82" s="2">
        <v>1400.2</v>
      </c>
      <c r="J82" s="2">
        <v>1400.2</v>
      </c>
      <c r="K82" s="2">
        <v>1400.2</v>
      </c>
      <c r="L82" s="2">
        <v>700.1</v>
      </c>
      <c r="M82" s="2">
        <v>2620.4</v>
      </c>
      <c r="N82" s="2">
        <v>1400.2</v>
      </c>
      <c r="O82" s="2">
        <v>1400.2</v>
      </c>
    </row>
    <row r="83" spans="1:15" x14ac:dyDescent="0.25">
      <c r="A83">
        <v>82</v>
      </c>
      <c r="B83" s="2">
        <v>5366</v>
      </c>
      <c r="C83" s="2">
        <v>5366</v>
      </c>
      <c r="D83" s="2">
        <v>0</v>
      </c>
      <c r="E83" s="2">
        <v>5366</v>
      </c>
      <c r="F83" s="2">
        <v>5366</v>
      </c>
      <c r="G83" s="2">
        <v>5266</v>
      </c>
      <c r="H83" s="2">
        <v>5366</v>
      </c>
      <c r="I83" s="2">
        <v>5366</v>
      </c>
      <c r="J83" s="2">
        <v>5366</v>
      </c>
      <c r="K83" s="2">
        <v>5366</v>
      </c>
      <c r="L83" s="2">
        <v>2683</v>
      </c>
      <c r="M83" s="2">
        <v>6280</v>
      </c>
      <c r="N83" s="2">
        <v>5366</v>
      </c>
      <c r="O83" s="2">
        <v>5366</v>
      </c>
    </row>
    <row r="84" spans="1:15" x14ac:dyDescent="0.25">
      <c r="A84">
        <v>83</v>
      </c>
      <c r="B84" s="2">
        <v>4757</v>
      </c>
      <c r="C84" s="2">
        <v>4757</v>
      </c>
      <c r="D84" s="2">
        <v>0</v>
      </c>
      <c r="E84" s="2">
        <v>4757</v>
      </c>
      <c r="F84" s="2">
        <v>4757</v>
      </c>
      <c r="G84" s="2">
        <v>4657</v>
      </c>
      <c r="H84" s="2">
        <v>4757</v>
      </c>
      <c r="I84" s="2">
        <v>4757</v>
      </c>
      <c r="J84" s="2">
        <v>4757</v>
      </c>
      <c r="K84" s="2">
        <v>4757</v>
      </c>
      <c r="L84" s="2">
        <v>2378.5</v>
      </c>
      <c r="M84" s="2">
        <v>8417.2000000000007</v>
      </c>
      <c r="N84" s="2">
        <v>4757</v>
      </c>
      <c r="O84" s="2">
        <v>4757</v>
      </c>
    </row>
    <row r="85" spans="1:15" x14ac:dyDescent="0.25">
      <c r="A85">
        <v>84</v>
      </c>
      <c r="B85" s="2">
        <v>4749</v>
      </c>
      <c r="C85" s="2">
        <v>4749</v>
      </c>
      <c r="D85" s="2">
        <v>0</v>
      </c>
      <c r="E85" s="2">
        <v>4749</v>
      </c>
      <c r="F85" s="2">
        <v>4749</v>
      </c>
      <c r="G85" s="2">
        <v>4649</v>
      </c>
      <c r="H85" s="2">
        <v>4749</v>
      </c>
      <c r="I85" s="2">
        <v>4749</v>
      </c>
      <c r="J85" s="2">
        <v>4749</v>
      </c>
      <c r="K85" s="2">
        <v>4749</v>
      </c>
      <c r="L85" s="2">
        <v>2374.5</v>
      </c>
      <c r="M85" s="2">
        <v>3987</v>
      </c>
      <c r="N85" s="2">
        <v>4749</v>
      </c>
      <c r="O85" s="2">
        <v>4749</v>
      </c>
    </row>
    <row r="86" spans="1:15" x14ac:dyDescent="0.25">
      <c r="A86">
        <v>85</v>
      </c>
      <c r="B86" s="2">
        <v>7044</v>
      </c>
      <c r="C86" s="2">
        <v>7044</v>
      </c>
      <c r="D86" s="2">
        <v>0</v>
      </c>
      <c r="E86" s="2">
        <v>7044</v>
      </c>
      <c r="F86" s="2">
        <v>7044</v>
      </c>
      <c r="G86" s="2">
        <v>6944</v>
      </c>
      <c r="H86" s="2">
        <v>7044</v>
      </c>
      <c r="I86" s="2">
        <v>7044</v>
      </c>
      <c r="J86" s="2">
        <v>7044</v>
      </c>
      <c r="K86" s="2">
        <v>7044</v>
      </c>
      <c r="L86" s="2">
        <v>3522</v>
      </c>
      <c r="M86" s="2">
        <v>8569</v>
      </c>
      <c r="N86" s="2">
        <v>7044</v>
      </c>
      <c r="O86" s="2">
        <v>7044</v>
      </c>
    </row>
    <row r="87" spans="1:15" x14ac:dyDescent="0.25">
      <c r="A87">
        <v>86</v>
      </c>
      <c r="B87" s="2">
        <v>2625.4</v>
      </c>
      <c r="C87" s="2">
        <v>2625.4</v>
      </c>
      <c r="D87" s="2">
        <v>0</v>
      </c>
      <c r="E87" s="2">
        <v>2625.4</v>
      </c>
      <c r="F87" s="2">
        <v>2625.4</v>
      </c>
      <c r="G87" s="2">
        <v>2525.4</v>
      </c>
      <c r="H87" s="2">
        <v>2625.4</v>
      </c>
      <c r="I87" s="2">
        <v>2625.4</v>
      </c>
      <c r="J87" s="2">
        <v>2625.4</v>
      </c>
      <c r="K87" s="2">
        <v>2625.4</v>
      </c>
      <c r="L87" s="2">
        <v>1312.7</v>
      </c>
      <c r="M87" s="2">
        <v>3845.6</v>
      </c>
      <c r="N87" s="2">
        <v>2625.4</v>
      </c>
      <c r="O87" s="2">
        <v>2625.4</v>
      </c>
    </row>
    <row r="88" spans="1:15" x14ac:dyDescent="0.25">
      <c r="A88">
        <v>87</v>
      </c>
      <c r="B88" s="2">
        <v>948.5</v>
      </c>
      <c r="C88" s="2">
        <v>948.5</v>
      </c>
      <c r="D88" s="2">
        <v>0</v>
      </c>
      <c r="E88" s="2">
        <v>948.5</v>
      </c>
      <c r="F88" s="2">
        <v>948.5</v>
      </c>
      <c r="G88" s="2">
        <v>848.5</v>
      </c>
      <c r="H88" s="2">
        <v>948.5</v>
      </c>
      <c r="I88" s="2">
        <v>948.5</v>
      </c>
      <c r="J88" s="2">
        <v>948.5</v>
      </c>
      <c r="K88" s="2">
        <v>948.5</v>
      </c>
      <c r="L88" s="2">
        <v>474.25</v>
      </c>
      <c r="M88" s="2">
        <v>1406</v>
      </c>
      <c r="N88" s="2">
        <v>948.5</v>
      </c>
      <c r="O88" s="2">
        <v>948.5</v>
      </c>
    </row>
    <row r="89" spans="1:15" x14ac:dyDescent="0.25">
      <c r="A89">
        <v>88</v>
      </c>
      <c r="B89" s="2">
        <v>2627.4</v>
      </c>
      <c r="C89" s="2">
        <v>2627.4</v>
      </c>
      <c r="D89" s="2">
        <v>0</v>
      </c>
      <c r="E89" s="2">
        <v>2627.4</v>
      </c>
      <c r="F89" s="2">
        <v>2627.4</v>
      </c>
      <c r="G89" s="2">
        <v>2527.4</v>
      </c>
      <c r="H89" s="2">
        <v>2627.4</v>
      </c>
      <c r="I89" s="2">
        <v>2627.4</v>
      </c>
      <c r="J89" s="2">
        <v>2627.4</v>
      </c>
      <c r="K89" s="2">
        <v>2627.4</v>
      </c>
      <c r="L89" s="2">
        <v>1313.7</v>
      </c>
      <c r="M89" s="2">
        <v>3237.5</v>
      </c>
      <c r="N89" s="2">
        <v>2627.4</v>
      </c>
      <c r="O89" s="2">
        <v>2627.4</v>
      </c>
    </row>
    <row r="90" spans="1:15" x14ac:dyDescent="0.25">
      <c r="A90">
        <v>89</v>
      </c>
      <c r="B90" s="2">
        <v>3314</v>
      </c>
      <c r="C90" s="2">
        <v>3314</v>
      </c>
      <c r="D90" s="2">
        <v>0</v>
      </c>
      <c r="E90" s="2">
        <v>3314</v>
      </c>
      <c r="F90" s="2">
        <v>3314</v>
      </c>
      <c r="G90" s="2">
        <v>3214</v>
      </c>
      <c r="H90" s="2">
        <v>3314</v>
      </c>
      <c r="I90" s="2">
        <v>3314</v>
      </c>
      <c r="J90" s="2">
        <v>3314</v>
      </c>
      <c r="K90" s="2">
        <v>3314</v>
      </c>
      <c r="L90" s="2">
        <v>1657</v>
      </c>
      <c r="M90" s="2">
        <v>2703.8</v>
      </c>
      <c r="N90" s="2">
        <v>3314</v>
      </c>
      <c r="O90" s="2">
        <v>3314</v>
      </c>
    </row>
    <row r="91" spans="1:15" x14ac:dyDescent="0.25">
      <c r="A91">
        <v>90</v>
      </c>
      <c r="B91" s="2">
        <v>2171</v>
      </c>
      <c r="C91" s="2">
        <v>2171</v>
      </c>
      <c r="D91" s="2">
        <v>0</v>
      </c>
      <c r="E91" s="2">
        <v>2171</v>
      </c>
      <c r="F91" s="2">
        <v>2171</v>
      </c>
      <c r="G91" s="2">
        <v>2071</v>
      </c>
      <c r="H91" s="2">
        <v>2171</v>
      </c>
      <c r="I91" s="2">
        <v>2171</v>
      </c>
      <c r="J91" s="2">
        <v>2171</v>
      </c>
      <c r="K91" s="2">
        <v>2171</v>
      </c>
      <c r="L91" s="2">
        <v>1085.5</v>
      </c>
      <c r="M91" s="2">
        <v>2590.5</v>
      </c>
      <c r="N91" s="2">
        <v>2171</v>
      </c>
      <c r="O91" s="2">
        <v>2171</v>
      </c>
    </row>
    <row r="92" spans="1:15" x14ac:dyDescent="0.25">
      <c r="A92">
        <v>91</v>
      </c>
      <c r="B92" s="2">
        <v>339.3</v>
      </c>
      <c r="C92" s="2">
        <v>339.3</v>
      </c>
      <c r="D92" s="2">
        <v>0</v>
      </c>
      <c r="E92" s="2">
        <v>339.3</v>
      </c>
      <c r="F92" s="2">
        <v>339.3</v>
      </c>
      <c r="G92" s="2">
        <v>239.3</v>
      </c>
      <c r="H92" s="2">
        <v>339.3</v>
      </c>
      <c r="I92" s="2">
        <v>339.3</v>
      </c>
      <c r="J92" s="2">
        <v>339.3</v>
      </c>
      <c r="K92" s="2">
        <v>339.3</v>
      </c>
      <c r="L92" s="2">
        <v>169.65</v>
      </c>
      <c r="M92" s="2">
        <v>817.4</v>
      </c>
      <c r="N92" s="2">
        <v>339.3</v>
      </c>
      <c r="O92" s="2">
        <v>339.3</v>
      </c>
    </row>
    <row r="93" spans="1:15" x14ac:dyDescent="0.25">
      <c r="A93">
        <v>92</v>
      </c>
      <c r="B93" s="2">
        <v>4191</v>
      </c>
      <c r="C93" s="2">
        <v>4191</v>
      </c>
      <c r="D93" s="2">
        <v>0</v>
      </c>
      <c r="E93" s="2">
        <v>4191</v>
      </c>
      <c r="F93" s="2">
        <v>4191</v>
      </c>
      <c r="G93" s="2">
        <v>4091</v>
      </c>
      <c r="H93" s="2">
        <v>4191</v>
      </c>
      <c r="I93" s="2">
        <v>4191</v>
      </c>
      <c r="J93" s="2">
        <v>4191</v>
      </c>
      <c r="K93" s="2">
        <v>4191</v>
      </c>
      <c r="L93" s="2">
        <v>2095.5</v>
      </c>
      <c r="M93" s="2">
        <v>3428.5</v>
      </c>
      <c r="N93" s="2">
        <v>4191</v>
      </c>
      <c r="O93" s="2">
        <v>4191</v>
      </c>
    </row>
    <row r="94" spans="1:15" x14ac:dyDescent="0.25">
      <c r="A94">
        <v>93</v>
      </c>
      <c r="B94" s="2">
        <v>4537.3999999999996</v>
      </c>
      <c r="C94" s="2">
        <v>4537.3999999999996</v>
      </c>
      <c r="D94" s="2">
        <v>0</v>
      </c>
      <c r="E94" s="2">
        <v>4537.3999999999996</v>
      </c>
      <c r="F94" s="2">
        <v>4537.3999999999996</v>
      </c>
      <c r="G94" s="2">
        <v>4437.3999999999996</v>
      </c>
      <c r="H94" s="2">
        <v>4537.3999999999996</v>
      </c>
      <c r="I94" s="2">
        <v>4537.3999999999996</v>
      </c>
      <c r="J94" s="2">
        <v>4537.3999999999996</v>
      </c>
      <c r="K94" s="2">
        <v>4537.3999999999996</v>
      </c>
      <c r="L94" s="2">
        <v>2268.6999999999998</v>
      </c>
      <c r="M94" s="2">
        <v>4689.8</v>
      </c>
      <c r="N94" s="2">
        <v>4537.3999999999996</v>
      </c>
      <c r="O94" s="2">
        <v>4537.3999999999996</v>
      </c>
    </row>
    <row r="95" spans="1:15" x14ac:dyDescent="0.25">
      <c r="A95">
        <v>94</v>
      </c>
      <c r="B95" s="2">
        <v>1946.6</v>
      </c>
      <c r="C95" s="2">
        <v>1946.6</v>
      </c>
      <c r="D95" s="2">
        <v>0</v>
      </c>
      <c r="E95" s="2">
        <v>1946.6</v>
      </c>
      <c r="F95" s="2">
        <v>1946.6</v>
      </c>
      <c r="G95" s="2">
        <v>1846.6</v>
      </c>
      <c r="H95" s="2">
        <v>1946.6</v>
      </c>
      <c r="I95" s="2">
        <v>1946.6</v>
      </c>
      <c r="J95" s="2">
        <v>1946.6</v>
      </c>
      <c r="K95" s="2">
        <v>1946.6</v>
      </c>
      <c r="L95" s="2">
        <v>973.3</v>
      </c>
      <c r="M95" s="2">
        <v>3052.2</v>
      </c>
      <c r="N95" s="2">
        <v>1946.6</v>
      </c>
      <c r="O95" s="2">
        <v>1946.6</v>
      </c>
    </row>
    <row r="96" spans="1:15" x14ac:dyDescent="0.25">
      <c r="A96">
        <v>95</v>
      </c>
      <c r="B96" s="2">
        <v>7667.1</v>
      </c>
      <c r="C96" s="2">
        <v>7667.1</v>
      </c>
      <c r="D96" s="2">
        <v>0</v>
      </c>
      <c r="E96" s="2">
        <v>7667.1</v>
      </c>
      <c r="F96" s="2">
        <v>7667.1</v>
      </c>
      <c r="G96" s="2">
        <v>7567.1</v>
      </c>
      <c r="H96" s="2">
        <v>7667.1</v>
      </c>
      <c r="I96" s="2">
        <v>7667.1</v>
      </c>
      <c r="J96" s="2">
        <v>7667.1</v>
      </c>
      <c r="K96" s="2">
        <v>7667.1</v>
      </c>
      <c r="L96" s="2">
        <v>3833.55</v>
      </c>
      <c r="M96" s="2">
        <v>8887.2999999999993</v>
      </c>
      <c r="N96" s="2">
        <v>7667.1</v>
      </c>
      <c r="O96" s="2">
        <v>7667.1</v>
      </c>
    </row>
    <row r="97" spans="1:15" x14ac:dyDescent="0.25">
      <c r="A97">
        <v>96</v>
      </c>
      <c r="B97" s="2">
        <v>3718</v>
      </c>
      <c r="C97" s="2">
        <v>3718</v>
      </c>
      <c r="D97" s="2">
        <v>0</v>
      </c>
      <c r="E97" s="2">
        <v>3718</v>
      </c>
      <c r="F97" s="2">
        <v>3718</v>
      </c>
      <c r="G97" s="2">
        <v>3618</v>
      </c>
      <c r="H97" s="2">
        <v>3718</v>
      </c>
      <c r="I97" s="2">
        <v>3718</v>
      </c>
      <c r="J97" s="2">
        <v>3718</v>
      </c>
      <c r="K97" s="2">
        <v>3718</v>
      </c>
      <c r="L97" s="2">
        <v>1859</v>
      </c>
      <c r="M97" s="2">
        <v>2781</v>
      </c>
      <c r="N97" s="2">
        <v>3718</v>
      </c>
      <c r="O97" s="2">
        <v>3718</v>
      </c>
    </row>
    <row r="98" spans="1:15" x14ac:dyDescent="0.25">
      <c r="A98">
        <v>97</v>
      </c>
      <c r="B98" s="2">
        <v>9955.6</v>
      </c>
      <c r="C98" s="2">
        <v>9955.6</v>
      </c>
      <c r="D98" s="2">
        <v>0</v>
      </c>
      <c r="E98" s="2">
        <v>9955.6</v>
      </c>
      <c r="F98" s="2">
        <v>9955.6</v>
      </c>
      <c r="G98" s="2">
        <v>9855.6</v>
      </c>
      <c r="H98" s="2">
        <v>9955.6</v>
      </c>
      <c r="I98" s="2">
        <v>9955.6</v>
      </c>
      <c r="J98" s="2">
        <v>9955.6</v>
      </c>
      <c r="K98" s="2">
        <v>9955.6</v>
      </c>
      <c r="L98" s="2">
        <v>4977.8</v>
      </c>
      <c r="M98" s="2">
        <v>11100.1</v>
      </c>
      <c r="N98" s="2">
        <v>9955.6</v>
      </c>
      <c r="O98" s="2">
        <v>9955.6</v>
      </c>
    </row>
    <row r="99" spans="1:15" x14ac:dyDescent="0.25">
      <c r="A99">
        <v>98</v>
      </c>
      <c r="B99" s="2">
        <v>1417.2</v>
      </c>
      <c r="C99" s="2">
        <v>1417.2</v>
      </c>
      <c r="D99" s="2">
        <v>0</v>
      </c>
      <c r="E99" s="2">
        <v>1417.2</v>
      </c>
      <c r="F99" s="2">
        <v>1417.2</v>
      </c>
      <c r="G99" s="2">
        <v>1317.2</v>
      </c>
      <c r="H99" s="2">
        <v>1417.2</v>
      </c>
      <c r="I99" s="2">
        <v>1417.2</v>
      </c>
      <c r="J99" s="2">
        <v>1417.2</v>
      </c>
      <c r="K99" s="2">
        <v>1417.2</v>
      </c>
      <c r="L99" s="2">
        <v>708.6</v>
      </c>
      <c r="M99" s="2">
        <v>1722</v>
      </c>
      <c r="N99" s="2">
        <v>1417.2</v>
      </c>
      <c r="O99" s="2">
        <v>1417.2</v>
      </c>
    </row>
    <row r="100" spans="1:15" x14ac:dyDescent="0.25">
      <c r="A100">
        <v>99</v>
      </c>
      <c r="B100" s="2">
        <v>9653.7999999999993</v>
      </c>
      <c r="C100" s="2">
        <v>9653.7999999999993</v>
      </c>
      <c r="D100" s="2">
        <v>0</v>
      </c>
      <c r="E100" s="2">
        <v>9653.7999999999993</v>
      </c>
      <c r="F100" s="2">
        <v>9653.7999999999993</v>
      </c>
      <c r="G100" s="2">
        <v>9553.7999999999993</v>
      </c>
      <c r="H100" s="2">
        <v>9653.7999999999993</v>
      </c>
      <c r="I100" s="2">
        <v>9653.7999999999993</v>
      </c>
      <c r="J100" s="2">
        <v>9653.7999999999993</v>
      </c>
      <c r="K100" s="2">
        <v>9653.7999999999993</v>
      </c>
      <c r="L100" s="2">
        <v>4826.8999999999996</v>
      </c>
      <c r="M100" s="2">
        <v>9959.1</v>
      </c>
      <c r="N100" s="2">
        <v>9653.7999999999993</v>
      </c>
      <c r="O100" s="2">
        <v>9653.7999999999993</v>
      </c>
    </row>
    <row r="101" spans="1:15" x14ac:dyDescent="0.25">
      <c r="A101">
        <v>100</v>
      </c>
      <c r="B101" s="2">
        <v>2827.9</v>
      </c>
      <c r="C101" s="2">
        <v>2827.9</v>
      </c>
      <c r="D101" s="2">
        <v>0</v>
      </c>
      <c r="E101" s="2">
        <v>2827.9</v>
      </c>
      <c r="F101" s="2">
        <v>2827.9</v>
      </c>
      <c r="G101" s="2">
        <v>2727.9</v>
      </c>
      <c r="H101" s="2">
        <v>2827.9</v>
      </c>
      <c r="I101" s="2">
        <v>2827.9</v>
      </c>
      <c r="J101" s="2">
        <v>2827.9</v>
      </c>
      <c r="K101" s="2">
        <v>2827.9</v>
      </c>
      <c r="L101" s="2">
        <v>1413.95</v>
      </c>
      <c r="M101" s="2">
        <v>3019.5</v>
      </c>
      <c r="N101" s="2">
        <v>2827.9</v>
      </c>
      <c r="O101" s="2">
        <v>2827.9</v>
      </c>
    </row>
    <row r="102" spans="1:15" x14ac:dyDescent="0.25">
      <c r="A102">
        <v>101</v>
      </c>
      <c r="B102" s="2">
        <v>1534.6</v>
      </c>
      <c r="C102" s="2">
        <v>1534.6</v>
      </c>
      <c r="D102" s="2">
        <v>0</v>
      </c>
      <c r="E102" s="2">
        <v>1534.6</v>
      </c>
      <c r="F102" s="2">
        <v>1534.6</v>
      </c>
      <c r="G102" s="2">
        <v>1434.6</v>
      </c>
      <c r="H102" s="2">
        <v>1534.6</v>
      </c>
      <c r="I102" s="2">
        <v>1534.6</v>
      </c>
      <c r="J102" s="2">
        <v>1534.6</v>
      </c>
      <c r="K102" s="2">
        <v>1534.6</v>
      </c>
      <c r="L102" s="2">
        <v>767.3</v>
      </c>
      <c r="M102" s="2">
        <v>1534.6</v>
      </c>
      <c r="N102" s="2">
        <v>1534.6</v>
      </c>
      <c r="O102" s="2">
        <v>1534.6</v>
      </c>
    </row>
    <row r="103" spans="1:15" x14ac:dyDescent="0.25">
      <c r="A103">
        <v>102</v>
      </c>
      <c r="B103" s="2">
        <v>764</v>
      </c>
      <c r="C103" s="2">
        <v>764</v>
      </c>
      <c r="D103" s="2">
        <v>0</v>
      </c>
      <c r="E103" s="2">
        <v>764</v>
      </c>
      <c r="F103" s="2">
        <v>764</v>
      </c>
      <c r="G103" s="2">
        <v>664</v>
      </c>
      <c r="H103" s="2">
        <v>764</v>
      </c>
      <c r="I103" s="2">
        <v>764</v>
      </c>
      <c r="J103" s="2">
        <v>764</v>
      </c>
      <c r="K103" s="2">
        <v>764</v>
      </c>
      <c r="L103" s="2">
        <v>382</v>
      </c>
      <c r="M103" s="2"/>
      <c r="N103" s="2">
        <v>764</v>
      </c>
      <c r="O103" s="2">
        <v>764</v>
      </c>
    </row>
    <row r="104" spans="1:15" x14ac:dyDescent="0.25">
      <c r="A104">
        <v>103</v>
      </c>
      <c r="B104" s="2">
        <v>2451.1999999999998</v>
      </c>
      <c r="C104" s="2">
        <v>2451.1999999999998</v>
      </c>
      <c r="D104" s="2">
        <v>0</v>
      </c>
      <c r="E104" s="2">
        <v>2451.1999999999998</v>
      </c>
      <c r="F104" s="2">
        <v>2451.1999999999998</v>
      </c>
      <c r="G104" s="2">
        <v>2351.1999999999998</v>
      </c>
      <c r="H104" s="2">
        <v>2451.1999999999998</v>
      </c>
      <c r="I104" s="2">
        <v>2451.1999999999998</v>
      </c>
      <c r="J104" s="2">
        <v>2451.1999999999998</v>
      </c>
      <c r="K104" s="2">
        <v>2451.1999999999998</v>
      </c>
      <c r="L104" s="2">
        <v>1225.5999999999999</v>
      </c>
      <c r="M104" s="2"/>
      <c r="N104" s="2">
        <v>2451.1999999999998</v>
      </c>
      <c r="O104" s="2">
        <v>2451.1999999999998</v>
      </c>
    </row>
    <row r="105" spans="1:15" x14ac:dyDescent="0.25">
      <c r="A105">
        <v>104</v>
      </c>
      <c r="B105" s="2">
        <v>6170.4</v>
      </c>
      <c r="C105" s="2">
        <v>6170.4</v>
      </c>
      <c r="D105" s="2">
        <v>0</v>
      </c>
      <c r="E105" s="2">
        <v>6170.4</v>
      </c>
      <c r="F105" s="2">
        <v>6170.4</v>
      </c>
      <c r="G105" s="2">
        <v>6070.4</v>
      </c>
      <c r="H105" s="2">
        <v>6170.4</v>
      </c>
      <c r="I105" s="2">
        <v>6170.4</v>
      </c>
      <c r="J105" s="2">
        <v>6170.4</v>
      </c>
      <c r="K105" s="2">
        <v>6170.4</v>
      </c>
      <c r="L105" s="2">
        <v>3085.2</v>
      </c>
      <c r="M105" s="2"/>
      <c r="N105" s="2">
        <v>6170.4</v>
      </c>
      <c r="O105" s="2">
        <v>6170.4</v>
      </c>
    </row>
    <row r="106" spans="1:15" x14ac:dyDescent="0.25">
      <c r="A106">
        <v>105</v>
      </c>
      <c r="B106" s="2">
        <v>7591.5</v>
      </c>
      <c r="C106" s="2">
        <v>7591.5</v>
      </c>
      <c r="D106" s="2">
        <v>0</v>
      </c>
      <c r="E106" s="2">
        <v>7591.5</v>
      </c>
      <c r="F106" s="2">
        <v>7591.5</v>
      </c>
      <c r="G106" s="2">
        <v>7491.5</v>
      </c>
      <c r="H106" s="2">
        <v>7591.5</v>
      </c>
      <c r="I106" s="2">
        <v>7591.5</v>
      </c>
      <c r="J106" s="2">
        <v>7591.5</v>
      </c>
      <c r="K106" s="2">
        <v>7591.5</v>
      </c>
      <c r="L106" s="2">
        <v>3795.75</v>
      </c>
      <c r="M106" s="2"/>
      <c r="N106" s="2">
        <v>7591.5</v>
      </c>
      <c r="O106" s="2">
        <v>7591.5</v>
      </c>
    </row>
    <row r="107" spans="1:15" x14ac:dyDescent="0.25">
      <c r="A107">
        <v>106</v>
      </c>
      <c r="B107" s="2">
        <v>4401.25</v>
      </c>
      <c r="C107" s="2">
        <v>4401.25</v>
      </c>
      <c r="D107" s="2">
        <v>0</v>
      </c>
      <c r="E107" s="2">
        <v>4401.25</v>
      </c>
      <c r="F107" s="2">
        <v>4401.25</v>
      </c>
      <c r="G107" s="2">
        <v>4301.25</v>
      </c>
      <c r="H107" s="2">
        <v>4401.25</v>
      </c>
      <c r="I107" s="2">
        <v>4401.25</v>
      </c>
      <c r="J107" s="2">
        <v>4401.25</v>
      </c>
      <c r="K107" s="2">
        <v>4401.25</v>
      </c>
      <c r="L107" s="2">
        <v>2200.625</v>
      </c>
      <c r="M107" s="2"/>
      <c r="N107" s="2">
        <v>4401.25</v>
      </c>
      <c r="O107" s="2">
        <v>4401.25</v>
      </c>
    </row>
    <row r="108" spans="1:15" x14ac:dyDescent="0.25">
      <c r="A108">
        <v>107</v>
      </c>
      <c r="B108" s="2">
        <v>1977.65</v>
      </c>
      <c r="C108" s="2">
        <v>1977.65</v>
      </c>
      <c r="D108" s="2">
        <v>0</v>
      </c>
      <c r="E108" s="2">
        <v>1977.65</v>
      </c>
      <c r="F108" s="2">
        <v>1977.65</v>
      </c>
      <c r="G108" s="2">
        <v>1877.65</v>
      </c>
      <c r="H108" s="2">
        <v>1977.65</v>
      </c>
      <c r="I108" s="2">
        <v>1977.65</v>
      </c>
      <c r="J108" s="2">
        <v>1977.65</v>
      </c>
      <c r="K108" s="2">
        <v>1977.65</v>
      </c>
      <c r="L108" s="2">
        <v>988.82500000000005</v>
      </c>
      <c r="M108" s="2"/>
      <c r="N108" s="2">
        <v>1977.65</v>
      </c>
      <c r="O108" s="2">
        <v>1977.65</v>
      </c>
    </row>
    <row r="109" spans="1:15" x14ac:dyDescent="0.25">
      <c r="A109">
        <v>108</v>
      </c>
      <c r="B109" s="2">
        <v>3865.7</v>
      </c>
      <c r="C109" s="2">
        <v>3865.7</v>
      </c>
      <c r="D109" s="2">
        <v>0</v>
      </c>
      <c r="E109" s="2">
        <v>3865.7</v>
      </c>
      <c r="F109" s="2">
        <v>3865.7</v>
      </c>
      <c r="G109" s="2">
        <v>3765.7</v>
      </c>
      <c r="H109" s="2">
        <v>3865.7</v>
      </c>
      <c r="I109" s="2">
        <v>3865.7</v>
      </c>
      <c r="J109" s="2">
        <v>3865.7</v>
      </c>
      <c r="K109" s="2">
        <v>3865.7</v>
      </c>
      <c r="L109" s="2">
        <v>1932.85</v>
      </c>
      <c r="M109" s="2"/>
      <c r="N109" s="2">
        <v>3865.7</v>
      </c>
      <c r="O109" s="2">
        <v>3865.7</v>
      </c>
    </row>
    <row r="110" spans="1:15" x14ac:dyDescent="0.25">
      <c r="A110">
        <v>109</v>
      </c>
      <c r="B110" s="2">
        <v>6003.95</v>
      </c>
      <c r="C110" s="2">
        <v>6003.95</v>
      </c>
      <c r="D110" s="2">
        <v>0</v>
      </c>
      <c r="E110" s="2">
        <v>6003.95</v>
      </c>
      <c r="F110" s="2">
        <v>6003.95</v>
      </c>
      <c r="G110" s="2">
        <v>5903.95</v>
      </c>
      <c r="H110" s="2">
        <v>6003.95</v>
      </c>
      <c r="I110" s="2">
        <v>6003.95</v>
      </c>
      <c r="J110" s="2">
        <v>6003.95</v>
      </c>
      <c r="K110" s="2">
        <v>6003.95</v>
      </c>
      <c r="L110" s="2">
        <v>3001.9749999999999</v>
      </c>
      <c r="M110" s="2"/>
      <c r="N110" s="2">
        <v>6003.95</v>
      </c>
      <c r="O110" s="2">
        <v>6003.95</v>
      </c>
    </row>
    <row r="111" spans="1:15" x14ac:dyDescent="0.25">
      <c r="A111">
        <v>110</v>
      </c>
      <c r="B111" s="2">
        <v>7648.25</v>
      </c>
      <c r="C111" s="2">
        <v>7648.25</v>
      </c>
      <c r="D111" s="2">
        <v>0</v>
      </c>
      <c r="E111" s="2">
        <v>7648.25</v>
      </c>
      <c r="F111" s="2">
        <v>7648.25</v>
      </c>
      <c r="G111" s="2">
        <v>7548.25</v>
      </c>
      <c r="H111" s="2">
        <v>7648.25</v>
      </c>
      <c r="I111" s="2">
        <v>7648.25</v>
      </c>
      <c r="J111" s="2">
        <v>7648.25</v>
      </c>
      <c r="K111" s="2">
        <v>7648.25</v>
      </c>
      <c r="L111" s="2">
        <v>3824.125</v>
      </c>
      <c r="M111" s="2"/>
      <c r="N111" s="2">
        <v>7648.25</v>
      </c>
      <c r="O111" s="2">
        <v>7648.25</v>
      </c>
    </row>
    <row r="112" spans="1:15" x14ac:dyDescent="0.25">
      <c r="A112">
        <v>111</v>
      </c>
      <c r="B112" s="2">
        <v>2687.75</v>
      </c>
      <c r="C112" s="2">
        <v>2687.75</v>
      </c>
      <c r="D112" s="2">
        <v>0</v>
      </c>
      <c r="E112" s="2">
        <v>2687.75</v>
      </c>
      <c r="F112" s="2">
        <v>2687.75</v>
      </c>
      <c r="G112" s="2">
        <v>2587.75</v>
      </c>
      <c r="H112" s="2">
        <v>2687.75</v>
      </c>
      <c r="I112" s="2">
        <v>2687.75</v>
      </c>
      <c r="J112" s="2">
        <v>2687.75</v>
      </c>
      <c r="K112" s="2">
        <v>2687.75</v>
      </c>
      <c r="L112" s="2">
        <v>1343.875</v>
      </c>
      <c r="M112" s="2"/>
      <c r="N112" s="2">
        <v>2687.75</v>
      </c>
      <c r="O112" s="2">
        <v>2687.75</v>
      </c>
    </row>
    <row r="113" spans="1:15" x14ac:dyDescent="0.25">
      <c r="A113">
        <v>112</v>
      </c>
      <c r="B113" s="2">
        <v>9667.5499999999993</v>
      </c>
      <c r="C113" s="2">
        <v>9667.5499999999993</v>
      </c>
      <c r="D113" s="2">
        <v>0</v>
      </c>
      <c r="E113" s="2">
        <v>9667.5499999999993</v>
      </c>
      <c r="F113" s="2">
        <v>9667.5499999999993</v>
      </c>
      <c r="G113" s="2">
        <v>9567.5499999999993</v>
      </c>
      <c r="H113" s="2">
        <v>9667.5499999999993</v>
      </c>
      <c r="I113" s="2">
        <v>9667.5499999999993</v>
      </c>
      <c r="J113" s="2">
        <v>9667.5499999999993</v>
      </c>
      <c r="K113" s="2">
        <v>9667.5499999999993</v>
      </c>
      <c r="L113" s="2">
        <v>4833.7749999999996</v>
      </c>
      <c r="M113" s="2"/>
      <c r="N113" s="2">
        <v>9667.5499999999993</v>
      </c>
      <c r="O113" s="2">
        <v>9667.5499999999993</v>
      </c>
    </row>
    <row r="114" spans="1:15" x14ac:dyDescent="0.25">
      <c r="A114">
        <v>113</v>
      </c>
      <c r="B114" s="2">
        <v>2670.8</v>
      </c>
      <c r="C114" s="2">
        <v>2670.8</v>
      </c>
      <c r="D114" s="2">
        <v>0</v>
      </c>
      <c r="E114" s="2">
        <v>2670.8</v>
      </c>
      <c r="F114" s="2">
        <v>2670.8</v>
      </c>
      <c r="G114" s="2">
        <v>2570.8000000000002</v>
      </c>
      <c r="H114" s="2">
        <v>2670.8</v>
      </c>
      <c r="I114" s="2">
        <v>2670.8</v>
      </c>
      <c r="J114" s="2">
        <v>2670.8</v>
      </c>
      <c r="K114" s="2">
        <v>2670.8</v>
      </c>
      <c r="L114" s="2">
        <v>1335.4</v>
      </c>
      <c r="M114" s="2"/>
      <c r="N114" s="2">
        <v>2670.8</v>
      </c>
      <c r="O114" s="2">
        <v>2670.8</v>
      </c>
    </row>
    <row r="115" spans="1:15" x14ac:dyDescent="0.25">
      <c r="A115">
        <v>114</v>
      </c>
      <c r="B115" s="2">
        <v>3184.5</v>
      </c>
      <c r="C115" s="2">
        <v>3184.5</v>
      </c>
      <c r="D115" s="2">
        <v>0</v>
      </c>
      <c r="E115" s="2">
        <v>3184.5</v>
      </c>
      <c r="F115" s="2">
        <v>3184.5</v>
      </c>
      <c r="G115" s="2">
        <v>3084.5</v>
      </c>
      <c r="H115" s="2">
        <v>3184.5</v>
      </c>
      <c r="I115" s="2">
        <v>3184.5</v>
      </c>
      <c r="J115" s="2">
        <v>3184.5</v>
      </c>
      <c r="K115" s="2">
        <v>3184.5</v>
      </c>
      <c r="L115" s="2">
        <v>1592.25</v>
      </c>
      <c r="M115" s="2"/>
      <c r="N115" s="2">
        <v>3184.5</v>
      </c>
      <c r="O115" s="2">
        <v>3184.5</v>
      </c>
    </row>
    <row r="116" spans="1:15" x14ac:dyDescent="0.25">
      <c r="A116">
        <v>115</v>
      </c>
      <c r="B116" s="2">
        <v>5608.15</v>
      </c>
      <c r="C116" s="2">
        <v>5608.15</v>
      </c>
      <c r="D116" s="2">
        <v>0</v>
      </c>
      <c r="E116" s="2">
        <v>5608.15</v>
      </c>
      <c r="F116" s="2">
        <v>5608.15</v>
      </c>
      <c r="G116" s="2">
        <v>5508.15</v>
      </c>
      <c r="H116" s="2">
        <v>5608.15</v>
      </c>
      <c r="I116" s="2">
        <v>5608.15</v>
      </c>
      <c r="J116" s="2">
        <v>5608.15</v>
      </c>
      <c r="K116" s="2">
        <v>5608.15</v>
      </c>
      <c r="L116" s="2">
        <v>2804.0749999999998</v>
      </c>
      <c r="M116" s="2"/>
      <c r="N116" s="2">
        <v>5608.15</v>
      </c>
      <c r="O116" s="2">
        <v>5608.15</v>
      </c>
    </row>
    <row r="117" spans="1:15" x14ac:dyDescent="0.25">
      <c r="A117">
        <v>116</v>
      </c>
      <c r="B117" s="2">
        <v>5609.15</v>
      </c>
      <c r="C117" s="2">
        <v>5609.15</v>
      </c>
      <c r="D117" s="2">
        <v>0</v>
      </c>
      <c r="E117" s="2">
        <v>5609.15</v>
      </c>
      <c r="F117" s="2">
        <v>5609.15</v>
      </c>
      <c r="G117" s="2">
        <v>5509.15</v>
      </c>
      <c r="H117" s="2">
        <v>5609.15</v>
      </c>
      <c r="I117" s="2">
        <v>5609.15</v>
      </c>
      <c r="J117" s="2">
        <v>5609.15</v>
      </c>
      <c r="K117" s="2">
        <v>5609.15</v>
      </c>
      <c r="L117" s="2">
        <v>2804.5749999999998</v>
      </c>
      <c r="M117" s="2"/>
      <c r="N117" s="2">
        <v>5609.15</v>
      </c>
      <c r="O117" s="2">
        <v>5609.15</v>
      </c>
    </row>
    <row r="118" spans="1:15" x14ac:dyDescent="0.25">
      <c r="A118">
        <v>117</v>
      </c>
      <c r="B118" s="2">
        <v>4148.8999999999996</v>
      </c>
      <c r="C118" s="2">
        <v>4148.8999999999996</v>
      </c>
      <c r="D118" s="2">
        <v>0</v>
      </c>
      <c r="E118" s="2">
        <v>4148.8999999999996</v>
      </c>
      <c r="F118" s="2">
        <v>4148.8999999999996</v>
      </c>
      <c r="G118" s="2">
        <v>4048.9</v>
      </c>
      <c r="H118" s="2">
        <v>4148.8999999999996</v>
      </c>
      <c r="I118" s="2">
        <v>4148.8999999999996</v>
      </c>
      <c r="J118" s="2">
        <v>4148.8999999999996</v>
      </c>
      <c r="K118" s="2">
        <v>4148.8999999999996</v>
      </c>
      <c r="L118" s="2">
        <v>2074.4499999999998</v>
      </c>
      <c r="M118" s="2"/>
      <c r="N118" s="2">
        <v>4148.8999999999996</v>
      </c>
      <c r="O118" s="2">
        <v>4148.8999999999996</v>
      </c>
    </row>
    <row r="119" spans="1:15" x14ac:dyDescent="0.25">
      <c r="A119">
        <v>118</v>
      </c>
      <c r="B119" s="2">
        <v>1161.75</v>
      </c>
      <c r="C119" s="2">
        <v>1161.75</v>
      </c>
      <c r="D119" s="2">
        <v>0</v>
      </c>
      <c r="E119" s="2">
        <v>1161.75</v>
      </c>
      <c r="F119" s="2">
        <v>1161.75</v>
      </c>
      <c r="G119" s="2">
        <v>1061.75</v>
      </c>
      <c r="H119" s="2">
        <v>1161.75</v>
      </c>
      <c r="I119" s="2">
        <v>1161.75</v>
      </c>
      <c r="J119" s="2">
        <v>1161.75</v>
      </c>
      <c r="K119" s="2">
        <v>1161.75</v>
      </c>
      <c r="L119" s="2">
        <v>580.875</v>
      </c>
      <c r="M119" s="2"/>
      <c r="N119" s="2">
        <v>1161.75</v>
      </c>
      <c r="O119" s="2">
        <v>1161.75</v>
      </c>
    </row>
    <row r="120" spans="1:15" x14ac:dyDescent="0.25">
      <c r="A120">
        <v>119</v>
      </c>
      <c r="B120" s="2">
        <v>4450.1000000000004</v>
      </c>
      <c r="C120" s="2">
        <v>4450.1000000000004</v>
      </c>
      <c r="D120" s="2">
        <v>0</v>
      </c>
      <c r="E120" s="2">
        <v>4450.1000000000004</v>
      </c>
      <c r="F120" s="2">
        <v>4450.1000000000004</v>
      </c>
      <c r="G120" s="2">
        <v>4350.1000000000004</v>
      </c>
      <c r="H120" s="2">
        <v>4450.1000000000004</v>
      </c>
      <c r="I120" s="2">
        <v>4450.1000000000004</v>
      </c>
      <c r="J120" s="2">
        <v>4450.1000000000004</v>
      </c>
      <c r="K120" s="2">
        <v>4450.1000000000004</v>
      </c>
      <c r="L120" s="2">
        <v>2225.0500000000002</v>
      </c>
      <c r="M120" s="2"/>
      <c r="N120" s="2">
        <v>4450.1000000000004</v>
      </c>
      <c r="O120" s="2">
        <v>4450.1000000000004</v>
      </c>
    </row>
    <row r="121" spans="1:15" x14ac:dyDescent="0.25">
      <c r="A121">
        <v>120</v>
      </c>
      <c r="B121" s="2">
        <v>2220.9</v>
      </c>
      <c r="C121" s="2">
        <v>2220.9</v>
      </c>
      <c r="D121" s="2">
        <v>0</v>
      </c>
      <c r="E121" s="2">
        <v>2220.9</v>
      </c>
      <c r="F121" s="2">
        <v>2220.9</v>
      </c>
      <c r="G121" s="2">
        <v>2120.9</v>
      </c>
      <c r="H121" s="2">
        <v>2220.9</v>
      </c>
      <c r="I121" s="2">
        <v>2220.9</v>
      </c>
      <c r="J121" s="2">
        <v>2220.9</v>
      </c>
      <c r="K121" s="2">
        <v>2220.9</v>
      </c>
      <c r="L121" s="2">
        <v>1110.45</v>
      </c>
      <c r="M121" s="2"/>
      <c r="N121" s="2">
        <v>2220.9</v>
      </c>
      <c r="O121" s="2">
        <v>2220.9</v>
      </c>
    </row>
    <row r="122" spans="1:15" x14ac:dyDescent="0.25">
      <c r="A122">
        <v>121</v>
      </c>
      <c r="B122" s="2">
        <v>5252.8</v>
      </c>
      <c r="C122" s="2">
        <v>5252.8</v>
      </c>
      <c r="D122" s="2">
        <v>0</v>
      </c>
      <c r="E122" s="2">
        <v>5252.8</v>
      </c>
      <c r="F122" s="2">
        <v>5252.8</v>
      </c>
      <c r="G122" s="2">
        <v>5152.8</v>
      </c>
      <c r="H122" s="2">
        <v>5252.8</v>
      </c>
      <c r="I122" s="2">
        <v>5252.8</v>
      </c>
      <c r="J122" s="2">
        <v>5252.8</v>
      </c>
      <c r="K122" s="2">
        <v>5252.8</v>
      </c>
      <c r="L122" s="2">
        <v>2626.4</v>
      </c>
      <c r="M122" s="2"/>
      <c r="N122" s="2">
        <v>5252.8</v>
      </c>
      <c r="O122" s="2">
        <v>5252.8</v>
      </c>
    </row>
    <row r="123" spans="1:15" x14ac:dyDescent="0.25">
      <c r="A123">
        <v>122</v>
      </c>
      <c r="B123" s="2">
        <v>1593.48</v>
      </c>
      <c r="C123" s="2">
        <v>1593.48</v>
      </c>
      <c r="D123" s="2">
        <v>0</v>
      </c>
      <c r="E123" s="2">
        <v>1593.48</v>
      </c>
      <c r="F123" s="2">
        <v>1593.48</v>
      </c>
      <c r="G123" s="2">
        <v>1493.48</v>
      </c>
      <c r="H123" s="2">
        <v>1593.48</v>
      </c>
      <c r="I123" s="2">
        <v>1593.48</v>
      </c>
      <c r="J123" s="2">
        <v>1593.48</v>
      </c>
      <c r="K123" s="2">
        <v>1593.48</v>
      </c>
      <c r="L123" s="2">
        <v>796.74</v>
      </c>
      <c r="M123" s="2"/>
      <c r="N123" s="2">
        <v>1593.48</v>
      </c>
      <c r="O123" s="2">
        <v>1593.48</v>
      </c>
    </row>
    <row r="124" spans="1:15" x14ac:dyDescent="0.25">
      <c r="A124">
        <v>123</v>
      </c>
      <c r="B124" s="2">
        <v>2083.5</v>
      </c>
      <c r="C124" s="2">
        <v>2083.5</v>
      </c>
      <c r="D124" s="2">
        <v>0</v>
      </c>
      <c r="E124" s="2">
        <v>2083.5</v>
      </c>
      <c r="F124" s="2">
        <v>2083.5</v>
      </c>
      <c r="G124" s="2">
        <v>1983.5</v>
      </c>
      <c r="H124" s="2">
        <v>2083.5</v>
      </c>
      <c r="I124" s="2">
        <v>2083.5</v>
      </c>
      <c r="J124" s="2">
        <v>2083.5</v>
      </c>
      <c r="K124" s="2">
        <v>2083.5</v>
      </c>
      <c r="L124" s="2">
        <v>1041.75</v>
      </c>
      <c r="M124" s="2"/>
      <c r="N124" s="2">
        <v>2083.5</v>
      </c>
      <c r="O124" s="2">
        <v>2083.5</v>
      </c>
    </row>
    <row r="125" spans="1:15" x14ac:dyDescent="0.25">
      <c r="A125">
        <v>124</v>
      </c>
      <c r="B125" s="2">
        <v>2723.16</v>
      </c>
      <c r="C125" s="2">
        <v>2723.16</v>
      </c>
      <c r="D125" s="2">
        <v>0</v>
      </c>
      <c r="E125" s="2">
        <v>2723.16</v>
      </c>
      <c r="F125" s="2">
        <v>2723.16</v>
      </c>
      <c r="G125" s="2">
        <v>2623.16</v>
      </c>
      <c r="H125" s="2">
        <v>2723.16</v>
      </c>
      <c r="I125" s="2">
        <v>2723.16</v>
      </c>
      <c r="J125" s="2">
        <v>2723.16</v>
      </c>
      <c r="K125" s="2">
        <v>2723.16</v>
      </c>
      <c r="L125" s="2">
        <v>1361.58</v>
      </c>
      <c r="M125" s="2"/>
      <c r="N125" s="2">
        <v>2723.16</v>
      </c>
      <c r="O125" s="2">
        <v>2723.16</v>
      </c>
    </row>
    <row r="126" spans="1:15" x14ac:dyDescent="0.25">
      <c r="A126">
        <v>125</v>
      </c>
      <c r="B126" s="2">
        <v>2511.5</v>
      </c>
      <c r="C126" s="2">
        <v>2511.5</v>
      </c>
      <c r="D126" s="2">
        <v>0</v>
      </c>
      <c r="E126" s="2">
        <v>2511.5</v>
      </c>
      <c r="F126" s="2">
        <v>2511.5</v>
      </c>
      <c r="G126" s="2">
        <v>2411.5</v>
      </c>
      <c r="H126" s="2">
        <v>2511.5</v>
      </c>
      <c r="I126" s="2">
        <v>2511.5</v>
      </c>
      <c r="J126" s="2">
        <v>2511.5</v>
      </c>
      <c r="K126" s="2">
        <v>2511.5</v>
      </c>
      <c r="L126" s="2">
        <v>1255.75</v>
      </c>
      <c r="M126" s="2"/>
      <c r="N126" s="2">
        <v>2511.5</v>
      </c>
      <c r="O126" s="2">
        <v>2511.5</v>
      </c>
    </row>
    <row r="127" spans="1:15" x14ac:dyDescent="0.25">
      <c r="A127">
        <v>126</v>
      </c>
      <c r="B127" s="2">
        <v>4548.4799999999996</v>
      </c>
      <c r="C127" s="2">
        <v>4548.4799999999996</v>
      </c>
      <c r="D127" s="2">
        <v>0</v>
      </c>
      <c r="E127" s="2">
        <v>4548.4799999999996</v>
      </c>
      <c r="F127" s="2">
        <v>4548.4799999999996</v>
      </c>
      <c r="G127" s="2">
        <v>4448.4799999999996</v>
      </c>
      <c r="H127" s="2">
        <v>4548.4799999999996</v>
      </c>
      <c r="I127" s="2">
        <v>4548.4799999999996</v>
      </c>
      <c r="J127" s="2">
        <v>4548.4799999999996</v>
      </c>
      <c r="K127" s="2">
        <v>4548.4799999999996</v>
      </c>
      <c r="L127" s="2">
        <v>2274.2399999999998</v>
      </c>
      <c r="M127" s="2"/>
      <c r="N127" s="2">
        <v>4548.4799999999996</v>
      </c>
      <c r="O127" s="2">
        <v>4548.4799999999996</v>
      </c>
    </row>
    <row r="128" spans="1:15" x14ac:dyDescent="0.25">
      <c r="A128">
        <v>127</v>
      </c>
      <c r="B128" s="2">
        <v>980.52</v>
      </c>
      <c r="C128" s="2">
        <v>980.52</v>
      </c>
      <c r="D128" s="2">
        <v>0</v>
      </c>
      <c r="E128" s="2">
        <v>980.52</v>
      </c>
      <c r="F128" s="2">
        <v>980.52</v>
      </c>
      <c r="G128" s="2">
        <v>880.52</v>
      </c>
      <c r="H128" s="2">
        <v>980.52</v>
      </c>
      <c r="I128" s="2">
        <v>980.52</v>
      </c>
      <c r="J128" s="2">
        <v>980.52</v>
      </c>
      <c r="K128" s="2">
        <v>980.52</v>
      </c>
      <c r="L128" s="2">
        <v>490.26</v>
      </c>
      <c r="M128" s="2"/>
      <c r="N128" s="2">
        <v>980.52</v>
      </c>
      <c r="O128" s="2">
        <v>980.52</v>
      </c>
    </row>
    <row r="129" spans="1:15" x14ac:dyDescent="0.25">
      <c r="A129">
        <v>128</v>
      </c>
      <c r="B129" s="2">
        <v>1324.76</v>
      </c>
      <c r="C129" s="2">
        <v>1324.76</v>
      </c>
      <c r="D129" s="2">
        <v>0</v>
      </c>
      <c r="E129" s="2">
        <v>1324.76</v>
      </c>
      <c r="F129" s="2">
        <v>1324.76</v>
      </c>
      <c r="G129" s="2">
        <v>1224.76</v>
      </c>
      <c r="H129" s="2">
        <v>1324.76</v>
      </c>
      <c r="I129" s="2">
        <v>1324.76</v>
      </c>
      <c r="J129" s="2">
        <v>1324.76</v>
      </c>
      <c r="K129" s="2">
        <v>1324.76</v>
      </c>
      <c r="L129" s="2">
        <v>662.38</v>
      </c>
      <c r="M129" s="2"/>
      <c r="N129" s="2">
        <v>1324.76</v>
      </c>
      <c r="O129" s="2">
        <v>1324.76</v>
      </c>
    </row>
    <row r="130" spans="1:15" x14ac:dyDescent="0.25">
      <c r="A130">
        <v>129</v>
      </c>
      <c r="B130" s="2">
        <v>1820.18</v>
      </c>
      <c r="C130" s="2">
        <v>1820.18</v>
      </c>
      <c r="D130" s="2">
        <v>0</v>
      </c>
      <c r="E130" s="2">
        <v>1820.18</v>
      </c>
      <c r="F130" s="2">
        <v>1820.18</v>
      </c>
      <c r="G130" s="2">
        <v>1720.18</v>
      </c>
      <c r="H130" s="2">
        <v>1820.18</v>
      </c>
      <c r="I130" s="2">
        <v>1820.18</v>
      </c>
      <c r="J130" s="2">
        <v>1820.18</v>
      </c>
      <c r="K130" s="2">
        <v>1820.18</v>
      </c>
      <c r="L130" s="2">
        <v>910.09</v>
      </c>
      <c r="M130" s="2"/>
      <c r="N130" s="2">
        <v>1820.18</v>
      </c>
      <c r="O130" s="2">
        <v>1820.18</v>
      </c>
    </row>
    <row r="131" spans="1:15" x14ac:dyDescent="0.25">
      <c r="A131">
        <v>130</v>
      </c>
      <c r="B131" s="2">
        <v>2240.7600000000002</v>
      </c>
      <c r="C131" s="2">
        <v>2240.7600000000002</v>
      </c>
      <c r="D131" s="2">
        <v>0</v>
      </c>
      <c r="E131" s="2">
        <v>2240.7600000000002</v>
      </c>
      <c r="F131" s="2">
        <v>2240.7600000000002</v>
      </c>
      <c r="G131" s="2">
        <v>2140.7600000000002</v>
      </c>
      <c r="H131" s="2">
        <v>2240.7600000000002</v>
      </c>
      <c r="I131" s="2">
        <v>2240.7600000000002</v>
      </c>
      <c r="J131" s="2">
        <v>2240.7600000000002</v>
      </c>
      <c r="K131" s="2">
        <v>2240.7600000000002</v>
      </c>
      <c r="L131" s="2">
        <v>1120.3800000000001</v>
      </c>
      <c r="M131" s="2"/>
      <c r="N131" s="2">
        <v>2240.7600000000002</v>
      </c>
      <c r="O131" s="2">
        <v>2240.7600000000002</v>
      </c>
    </row>
    <row r="132" spans="1:15" x14ac:dyDescent="0.25">
      <c r="A132">
        <v>131</v>
      </c>
      <c r="B132" s="2">
        <v>1784.48</v>
      </c>
      <c r="C132" s="2">
        <v>1784.48</v>
      </c>
      <c r="D132" s="2">
        <v>0</v>
      </c>
      <c r="E132" s="2">
        <v>1784.48</v>
      </c>
      <c r="F132" s="2">
        <v>1784.48</v>
      </c>
      <c r="G132" s="2">
        <v>1684.48</v>
      </c>
      <c r="H132" s="2">
        <v>1784.48</v>
      </c>
      <c r="I132" s="2">
        <v>1784.48</v>
      </c>
      <c r="J132" s="2">
        <v>1784.48</v>
      </c>
      <c r="K132" s="2">
        <v>1784.48</v>
      </c>
      <c r="L132" s="2">
        <v>892.24</v>
      </c>
      <c r="M132" s="2"/>
      <c r="N132" s="2">
        <v>1784.48</v>
      </c>
      <c r="O132" s="2">
        <v>1784.48</v>
      </c>
    </row>
    <row r="133" spans="1:15" x14ac:dyDescent="0.25">
      <c r="A133">
        <v>132</v>
      </c>
      <c r="B133" s="2">
        <v>2427.36</v>
      </c>
      <c r="C133" s="2">
        <v>2427.36</v>
      </c>
      <c r="D133" s="2">
        <v>0</v>
      </c>
      <c r="E133" s="2">
        <v>2427.36</v>
      </c>
      <c r="F133" s="2">
        <v>2427.36</v>
      </c>
      <c r="G133" s="2">
        <v>2327.36</v>
      </c>
      <c r="H133" s="2">
        <v>2427.36</v>
      </c>
      <c r="I133" s="2">
        <v>2427.36</v>
      </c>
      <c r="J133" s="2">
        <v>2427.36</v>
      </c>
      <c r="K133" s="2">
        <v>2427.36</v>
      </c>
      <c r="L133" s="2">
        <v>1213.68</v>
      </c>
      <c r="M133" s="2"/>
      <c r="N133" s="2">
        <v>2427.36</v>
      </c>
      <c r="O133" s="2">
        <v>2427.36</v>
      </c>
    </row>
    <row r="134" spans="1:15" x14ac:dyDescent="0.25">
      <c r="A134">
        <v>133</v>
      </c>
      <c r="B134" s="2">
        <v>3184.48</v>
      </c>
      <c r="C134" s="2">
        <v>3184.48</v>
      </c>
      <c r="D134" s="2">
        <v>0</v>
      </c>
      <c r="E134" s="2">
        <v>3184.48</v>
      </c>
      <c r="F134" s="2">
        <v>3184.48</v>
      </c>
      <c r="G134" s="2">
        <v>3084.48</v>
      </c>
      <c r="H134" s="2">
        <v>3184.48</v>
      </c>
      <c r="I134" s="2">
        <v>3184.48</v>
      </c>
      <c r="J134" s="2">
        <v>3184.48</v>
      </c>
      <c r="K134" s="2">
        <v>3184.48</v>
      </c>
      <c r="L134" s="2">
        <v>1592.24</v>
      </c>
      <c r="M134" s="2"/>
      <c r="N134" s="2">
        <v>3184.48</v>
      </c>
      <c r="O134" s="2">
        <v>3184.48</v>
      </c>
    </row>
    <row r="135" spans="1:15" x14ac:dyDescent="0.25">
      <c r="A135">
        <v>134</v>
      </c>
      <c r="B135" s="2">
        <v>3305.94</v>
      </c>
      <c r="C135" s="2">
        <v>3305.94</v>
      </c>
      <c r="D135" s="2">
        <v>0</v>
      </c>
      <c r="E135" s="2">
        <v>3305.94</v>
      </c>
      <c r="F135" s="2">
        <v>3305.94</v>
      </c>
      <c r="G135" s="2">
        <v>3205.94</v>
      </c>
      <c r="H135" s="2">
        <v>3305.94</v>
      </c>
      <c r="I135" s="2">
        <v>3305.94</v>
      </c>
      <c r="J135" s="2">
        <v>3305.94</v>
      </c>
      <c r="K135" s="2">
        <v>3305.94</v>
      </c>
      <c r="L135" s="2">
        <v>1652.97</v>
      </c>
      <c r="M135" s="2"/>
      <c r="N135" s="2">
        <v>3305.94</v>
      </c>
      <c r="O135" s="2">
        <v>3305.94</v>
      </c>
    </row>
    <row r="136" spans="1:15" x14ac:dyDescent="0.25">
      <c r="A136">
        <v>135</v>
      </c>
      <c r="B136" s="2">
        <v>1454</v>
      </c>
      <c r="C136" s="2">
        <v>1454</v>
      </c>
      <c r="D136" s="2">
        <v>0</v>
      </c>
      <c r="E136" s="2">
        <v>1454</v>
      </c>
      <c r="F136" s="2">
        <v>1454</v>
      </c>
      <c r="G136" s="2">
        <v>1354</v>
      </c>
      <c r="H136" s="2">
        <v>1454</v>
      </c>
      <c r="I136" s="2">
        <v>1454</v>
      </c>
      <c r="J136" s="2">
        <v>1454</v>
      </c>
      <c r="K136" s="2">
        <v>1454</v>
      </c>
      <c r="L136" s="2">
        <v>727</v>
      </c>
      <c r="M136" s="2"/>
      <c r="N136" s="2">
        <v>1454</v>
      </c>
      <c r="O136" s="2">
        <v>1454</v>
      </c>
    </row>
    <row r="137" spans="1:15" x14ac:dyDescent="0.25">
      <c r="A137">
        <v>136</v>
      </c>
      <c r="B137" s="2">
        <v>2103.3000000000002</v>
      </c>
      <c r="C137" s="2">
        <v>2103.3000000000002</v>
      </c>
      <c r="D137" s="2">
        <v>0</v>
      </c>
      <c r="E137" s="2">
        <v>2103.3000000000002</v>
      </c>
      <c r="F137" s="2">
        <v>2103.3000000000002</v>
      </c>
      <c r="G137" s="2">
        <v>2003.3</v>
      </c>
      <c r="H137" s="2">
        <v>2103.3000000000002</v>
      </c>
      <c r="I137" s="2">
        <v>2103.3000000000002</v>
      </c>
      <c r="J137" s="2">
        <v>2103.3000000000002</v>
      </c>
      <c r="K137" s="2">
        <v>2103.3000000000002</v>
      </c>
      <c r="L137" s="2">
        <v>1051.6500000000001</v>
      </c>
      <c r="M137" s="2"/>
      <c r="N137" s="2">
        <v>2103.3000000000002</v>
      </c>
      <c r="O137" s="2">
        <v>2103.3000000000002</v>
      </c>
    </row>
    <row r="138" spans="1:15" x14ac:dyDescent="0.25">
      <c r="A138">
        <v>137</v>
      </c>
      <c r="B138" s="2">
        <v>1699.52</v>
      </c>
      <c r="C138" s="2">
        <v>1699.52</v>
      </c>
      <c r="D138" s="2">
        <v>0</v>
      </c>
      <c r="E138" s="2">
        <v>1699.52</v>
      </c>
      <c r="F138" s="2">
        <v>1699.52</v>
      </c>
      <c r="G138" s="2">
        <v>1599.52</v>
      </c>
      <c r="H138" s="2">
        <v>1699.52</v>
      </c>
      <c r="I138" s="2">
        <v>1699.52</v>
      </c>
      <c r="J138" s="2">
        <v>1699.52</v>
      </c>
      <c r="K138" s="2">
        <v>1699.52</v>
      </c>
      <c r="L138" s="2">
        <v>849.76</v>
      </c>
      <c r="M138" s="2"/>
      <c r="N138" s="2">
        <v>1699.52</v>
      </c>
      <c r="O138" s="2">
        <v>1699.52</v>
      </c>
    </row>
    <row r="139" spans="1:15" x14ac:dyDescent="0.25">
      <c r="A139">
        <v>138</v>
      </c>
      <c r="B139" s="2">
        <v>3531.12</v>
      </c>
      <c r="C139" s="2">
        <v>3531.12</v>
      </c>
      <c r="D139" s="2">
        <v>0</v>
      </c>
      <c r="E139" s="2">
        <v>3531.12</v>
      </c>
      <c r="F139" s="2">
        <v>3531.12</v>
      </c>
      <c r="G139" s="2">
        <v>3431.12</v>
      </c>
      <c r="H139" s="2">
        <v>3531.12</v>
      </c>
      <c r="I139" s="2">
        <v>3531.12</v>
      </c>
      <c r="J139" s="2">
        <v>3531.12</v>
      </c>
      <c r="K139" s="2">
        <v>3531.12</v>
      </c>
      <c r="L139" s="2">
        <v>1765.56</v>
      </c>
      <c r="M139" s="2"/>
      <c r="N139" s="2">
        <v>3531.12</v>
      </c>
      <c r="O139" s="2">
        <v>3531.12</v>
      </c>
    </row>
    <row r="140" spans="1:15" x14ac:dyDescent="0.25">
      <c r="A140">
        <v>139</v>
      </c>
      <c r="B140" s="2">
        <v>1198.1199999999999</v>
      </c>
      <c r="C140" s="2">
        <v>1198.1199999999999</v>
      </c>
      <c r="D140" s="2">
        <v>0</v>
      </c>
      <c r="E140" s="2">
        <v>1198.1199999999999</v>
      </c>
      <c r="F140" s="2">
        <v>1198.1199999999999</v>
      </c>
      <c r="G140" s="2">
        <v>1098.1199999999999</v>
      </c>
      <c r="H140" s="2">
        <v>1198.1199999999999</v>
      </c>
      <c r="I140" s="2">
        <v>1198.1199999999999</v>
      </c>
      <c r="J140" s="2">
        <v>1198.1199999999999</v>
      </c>
      <c r="K140" s="2">
        <v>1198.1199999999999</v>
      </c>
      <c r="L140" s="2">
        <v>599.05999999999995</v>
      </c>
      <c r="M140" s="2"/>
      <c r="N140" s="2">
        <v>1198.1199999999999</v>
      </c>
      <c r="O140" s="2">
        <v>1198.1199999999999</v>
      </c>
    </row>
    <row r="141" spans="1:15" x14ac:dyDescent="0.25">
      <c r="A141">
        <v>140</v>
      </c>
      <c r="B141" s="2">
        <v>2166.86</v>
      </c>
      <c r="C141" s="2">
        <v>2166.86</v>
      </c>
      <c r="D141" s="2">
        <v>0</v>
      </c>
      <c r="E141" s="2">
        <v>2166.86</v>
      </c>
      <c r="F141" s="2">
        <v>2166.86</v>
      </c>
      <c r="G141" s="2">
        <v>2066.86</v>
      </c>
      <c r="H141" s="2">
        <v>2166.86</v>
      </c>
      <c r="I141" s="2">
        <v>2166.86</v>
      </c>
      <c r="J141" s="2">
        <v>2166.86</v>
      </c>
      <c r="K141" s="2">
        <v>2166.86</v>
      </c>
      <c r="L141" s="2">
        <v>1083.43</v>
      </c>
      <c r="M141" s="2"/>
      <c r="N141" s="2">
        <v>2166.86</v>
      </c>
      <c r="O141" s="2">
        <v>2166.86</v>
      </c>
    </row>
    <row r="142" spans="1:15" x14ac:dyDescent="0.25">
      <c r="A142">
        <v>141</v>
      </c>
      <c r="B142" s="2">
        <v>773.84</v>
      </c>
      <c r="C142" s="2">
        <v>773.84</v>
      </c>
      <c r="D142" s="2">
        <v>0</v>
      </c>
      <c r="E142" s="2">
        <v>773.84</v>
      </c>
      <c r="F142" s="2">
        <v>773.84</v>
      </c>
      <c r="G142" s="2">
        <v>673.84</v>
      </c>
      <c r="H142" s="2">
        <v>773.84</v>
      </c>
      <c r="I142" s="2">
        <v>773.84</v>
      </c>
      <c r="J142" s="2">
        <v>773.84</v>
      </c>
      <c r="K142" s="2">
        <v>773.84</v>
      </c>
      <c r="L142" s="2">
        <v>386.92</v>
      </c>
      <c r="M142" s="2"/>
      <c r="N142" s="2">
        <v>773.84</v>
      </c>
      <c r="O142" s="2">
        <v>773.84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H385"/>
  <sheetViews>
    <sheetView workbookViewId="0">
      <pane xSplit="1" ySplit="1" topLeftCell="C365" activePane="bottomRight" state="frozen"/>
      <selection pane="topRight" activeCell="B1" sqref="B1"/>
      <selection pane="bottomLeft" activeCell="A2" sqref="A2"/>
      <selection pane="bottomRight" activeCell="E383" sqref="E383"/>
    </sheetView>
  </sheetViews>
  <sheetFormatPr defaultRowHeight="15" x14ac:dyDescent="0.25"/>
  <cols>
    <col min="1" max="1" width="32.28515625" customWidth="1"/>
    <col min="2" max="2" width="23.28515625" bestFit="1" customWidth="1"/>
    <col min="3" max="7" width="16.7109375" customWidth="1"/>
  </cols>
  <sheetData>
    <row r="1" spans="1:8" x14ac:dyDescent="0.25">
      <c r="A1" s="4" t="s">
        <v>39</v>
      </c>
      <c r="B1" s="4" t="s">
        <v>40</v>
      </c>
      <c r="C1" s="4" t="s">
        <v>662</v>
      </c>
      <c r="D1" s="4" t="s">
        <v>663</v>
      </c>
      <c r="E1" s="4" t="s">
        <v>664</v>
      </c>
      <c r="F1" s="4" t="s">
        <v>38</v>
      </c>
      <c r="G1" s="4" t="s">
        <v>37</v>
      </c>
    </row>
    <row r="2" spans="1:8" x14ac:dyDescent="0.25">
      <c r="A2" t="s">
        <v>41</v>
      </c>
      <c r="B2" t="s">
        <v>42</v>
      </c>
      <c r="C2" s="16">
        <v>170</v>
      </c>
      <c r="D2" s="16">
        <v>200</v>
      </c>
      <c r="E2" s="16">
        <v>215</v>
      </c>
      <c r="F2" s="16">
        <v>215</v>
      </c>
      <c r="G2" s="16">
        <v>240</v>
      </c>
      <c r="H2" s="17"/>
    </row>
    <row r="3" spans="1:8" x14ac:dyDescent="0.25">
      <c r="A3" t="s">
        <v>43</v>
      </c>
      <c r="B3" t="s">
        <v>44</v>
      </c>
      <c r="C3" s="16">
        <v>120</v>
      </c>
      <c r="D3" s="16">
        <v>140</v>
      </c>
      <c r="E3" s="16">
        <v>150</v>
      </c>
      <c r="F3" s="16">
        <v>150</v>
      </c>
      <c r="G3" s="16">
        <v>170</v>
      </c>
    </row>
    <row r="4" spans="1:8" x14ac:dyDescent="0.25">
      <c r="A4" t="s">
        <v>45</v>
      </c>
      <c r="B4" t="s">
        <v>46</v>
      </c>
      <c r="C4" s="16">
        <v>185</v>
      </c>
      <c r="D4" s="16">
        <v>220</v>
      </c>
      <c r="E4" s="16">
        <v>235</v>
      </c>
      <c r="F4" s="16">
        <v>235</v>
      </c>
      <c r="G4" s="16">
        <v>265</v>
      </c>
    </row>
    <row r="5" spans="1:8" x14ac:dyDescent="0.25">
      <c r="A5" t="s">
        <v>47</v>
      </c>
      <c r="B5" t="s">
        <v>48</v>
      </c>
      <c r="C5" s="16">
        <v>255</v>
      </c>
      <c r="D5" s="16">
        <v>300</v>
      </c>
      <c r="E5" s="16">
        <v>325</v>
      </c>
      <c r="F5" s="16">
        <v>325</v>
      </c>
      <c r="G5" s="16">
        <v>360</v>
      </c>
    </row>
    <row r="6" spans="1:8" x14ac:dyDescent="0.25">
      <c r="A6" t="s">
        <v>49</v>
      </c>
      <c r="B6" t="s">
        <v>50</v>
      </c>
      <c r="C6" s="16">
        <v>1530</v>
      </c>
      <c r="D6" s="16">
        <v>1800</v>
      </c>
      <c r="E6" s="16">
        <v>1945</v>
      </c>
      <c r="F6" s="16">
        <v>1945</v>
      </c>
      <c r="G6" s="16">
        <v>2160</v>
      </c>
    </row>
    <row r="7" spans="1:8" x14ac:dyDescent="0.25">
      <c r="A7" t="s">
        <v>51</v>
      </c>
      <c r="B7" t="s">
        <v>52</v>
      </c>
      <c r="C7" s="16">
        <v>12750</v>
      </c>
      <c r="D7" s="16">
        <v>15000</v>
      </c>
      <c r="E7" s="16">
        <v>16200</v>
      </c>
      <c r="F7" s="16">
        <v>16200</v>
      </c>
      <c r="G7" s="16">
        <v>18000</v>
      </c>
    </row>
    <row r="8" spans="1:8" x14ac:dyDescent="0.25">
      <c r="A8" t="s">
        <v>53</v>
      </c>
      <c r="B8" t="s">
        <v>54</v>
      </c>
      <c r="C8" s="16">
        <v>85</v>
      </c>
      <c r="D8" s="16">
        <v>100</v>
      </c>
      <c r="E8" s="16">
        <v>110</v>
      </c>
      <c r="F8" s="16">
        <v>110</v>
      </c>
      <c r="G8" s="16">
        <v>120</v>
      </c>
    </row>
    <row r="9" spans="1:8" x14ac:dyDescent="0.25">
      <c r="A9" t="s">
        <v>55</v>
      </c>
      <c r="B9" t="s">
        <v>56</v>
      </c>
      <c r="C9" s="16">
        <v>160</v>
      </c>
      <c r="D9" s="16">
        <v>190</v>
      </c>
      <c r="E9" s="16">
        <v>205</v>
      </c>
      <c r="F9" s="16">
        <v>205</v>
      </c>
      <c r="G9" s="16">
        <v>230</v>
      </c>
    </row>
    <row r="10" spans="1:8" x14ac:dyDescent="0.25">
      <c r="A10" t="s">
        <v>57</v>
      </c>
      <c r="B10" t="s">
        <v>58</v>
      </c>
      <c r="C10" s="16">
        <v>340</v>
      </c>
      <c r="D10" s="16">
        <v>400</v>
      </c>
      <c r="E10" s="16">
        <v>430</v>
      </c>
      <c r="F10" s="16">
        <v>430</v>
      </c>
      <c r="G10" s="16">
        <v>480</v>
      </c>
    </row>
    <row r="11" spans="1:8" x14ac:dyDescent="0.25">
      <c r="A11" t="s">
        <v>59</v>
      </c>
      <c r="B11" t="s">
        <v>60</v>
      </c>
      <c r="C11" s="16">
        <v>6800</v>
      </c>
      <c r="D11" s="16">
        <v>8000</v>
      </c>
      <c r="E11" s="16">
        <v>8100</v>
      </c>
      <c r="F11" s="16">
        <v>8100</v>
      </c>
      <c r="G11" s="16">
        <v>9000</v>
      </c>
    </row>
    <row r="12" spans="1:8" x14ac:dyDescent="0.25">
      <c r="A12" t="s">
        <v>61</v>
      </c>
      <c r="B12" t="s">
        <v>62</v>
      </c>
      <c r="C12" s="16">
        <v>38250</v>
      </c>
      <c r="D12" s="16">
        <v>45000</v>
      </c>
      <c r="E12" s="16">
        <v>48600</v>
      </c>
      <c r="F12" s="16">
        <v>48600</v>
      </c>
      <c r="G12" s="16">
        <v>54000</v>
      </c>
    </row>
    <row r="13" spans="1:8" x14ac:dyDescent="0.25">
      <c r="A13" t="s">
        <v>63</v>
      </c>
      <c r="B13" t="s">
        <v>64</v>
      </c>
      <c r="C13" s="16">
        <v>75</v>
      </c>
      <c r="D13" s="16">
        <v>90</v>
      </c>
      <c r="E13" s="16">
        <v>95</v>
      </c>
      <c r="F13" s="16">
        <v>95</v>
      </c>
      <c r="G13" s="16">
        <v>110</v>
      </c>
    </row>
    <row r="14" spans="1:8" x14ac:dyDescent="0.25">
      <c r="A14" t="s">
        <v>65</v>
      </c>
      <c r="B14" t="s">
        <v>66</v>
      </c>
      <c r="C14" s="16">
        <v>170</v>
      </c>
      <c r="D14" s="16">
        <v>200</v>
      </c>
      <c r="E14" s="16">
        <v>215</v>
      </c>
      <c r="F14" s="16">
        <v>215</v>
      </c>
      <c r="G14" s="16">
        <v>240</v>
      </c>
    </row>
    <row r="15" spans="1:8" x14ac:dyDescent="0.25">
      <c r="A15" t="s">
        <v>67</v>
      </c>
      <c r="B15" t="s">
        <v>68</v>
      </c>
      <c r="C15" s="16">
        <v>530</v>
      </c>
      <c r="D15" s="16">
        <v>625</v>
      </c>
      <c r="E15" s="16">
        <v>675</v>
      </c>
      <c r="F15" s="16">
        <v>675</v>
      </c>
      <c r="G15" s="16">
        <v>750</v>
      </c>
    </row>
    <row r="16" spans="1:8" x14ac:dyDescent="0.25">
      <c r="A16" t="s">
        <v>69</v>
      </c>
      <c r="B16" t="s">
        <v>70</v>
      </c>
      <c r="C16" s="16">
        <v>1700</v>
      </c>
      <c r="D16" s="16">
        <v>2000</v>
      </c>
      <c r="E16" s="16">
        <v>2160</v>
      </c>
      <c r="F16" s="16">
        <v>2160</v>
      </c>
      <c r="G16" s="16">
        <v>2400</v>
      </c>
    </row>
    <row r="17" spans="1:7" x14ac:dyDescent="0.25">
      <c r="A17" t="s">
        <v>71</v>
      </c>
      <c r="B17" t="s">
        <v>72</v>
      </c>
      <c r="C17" s="16">
        <v>18275</v>
      </c>
      <c r="D17" s="16">
        <v>21500</v>
      </c>
      <c r="E17" s="16">
        <v>23220</v>
      </c>
      <c r="F17" s="16">
        <v>23220</v>
      </c>
      <c r="G17" s="16">
        <v>25800</v>
      </c>
    </row>
    <row r="18" spans="1:7" x14ac:dyDescent="0.25">
      <c r="A18" t="s">
        <v>73</v>
      </c>
      <c r="B18" t="s">
        <v>74</v>
      </c>
      <c r="C18" s="16">
        <v>225</v>
      </c>
      <c r="D18" s="16">
        <v>325</v>
      </c>
      <c r="E18" s="16">
        <v>350</v>
      </c>
      <c r="F18" s="16">
        <v>350</v>
      </c>
      <c r="G18" s="16">
        <v>380</v>
      </c>
    </row>
    <row r="19" spans="1:7" x14ac:dyDescent="0.25">
      <c r="A19" t="s">
        <v>75</v>
      </c>
      <c r="B19" t="s">
        <v>76</v>
      </c>
      <c r="C19" s="16">
        <v>170</v>
      </c>
      <c r="D19" s="16">
        <v>200</v>
      </c>
      <c r="E19" s="16">
        <v>215</v>
      </c>
      <c r="F19" s="16">
        <v>215</v>
      </c>
      <c r="G19" s="16">
        <v>240</v>
      </c>
    </row>
    <row r="20" spans="1:7" x14ac:dyDescent="0.25">
      <c r="A20" t="s">
        <v>77</v>
      </c>
      <c r="B20" t="s">
        <v>78</v>
      </c>
      <c r="C20" s="16">
        <v>240</v>
      </c>
      <c r="D20" s="16">
        <v>280</v>
      </c>
      <c r="E20" s="16">
        <v>300</v>
      </c>
      <c r="F20" s="16">
        <v>300</v>
      </c>
      <c r="G20" s="16">
        <v>335</v>
      </c>
    </row>
    <row r="21" spans="1:7" x14ac:dyDescent="0.25">
      <c r="A21" t="s">
        <v>79</v>
      </c>
      <c r="B21" t="s">
        <v>80</v>
      </c>
      <c r="C21" s="16">
        <v>510</v>
      </c>
      <c r="D21" s="16">
        <v>600</v>
      </c>
      <c r="E21" s="16">
        <v>650</v>
      </c>
      <c r="F21" s="16">
        <v>650</v>
      </c>
      <c r="G21" s="16">
        <v>720</v>
      </c>
    </row>
    <row r="22" spans="1:7" x14ac:dyDescent="0.25">
      <c r="A22" t="s">
        <v>81</v>
      </c>
      <c r="B22" t="s">
        <v>82</v>
      </c>
      <c r="C22" s="16">
        <v>2550</v>
      </c>
      <c r="D22" s="16">
        <v>3000</v>
      </c>
      <c r="E22" s="16">
        <v>3240</v>
      </c>
      <c r="F22" s="16">
        <v>3240</v>
      </c>
      <c r="G22" s="16">
        <v>3600</v>
      </c>
    </row>
    <row r="23" spans="1:7" x14ac:dyDescent="0.25">
      <c r="A23" t="s">
        <v>83</v>
      </c>
      <c r="B23" t="s">
        <v>84</v>
      </c>
      <c r="C23" s="16">
        <v>24990</v>
      </c>
      <c r="D23" s="16">
        <v>29400</v>
      </c>
      <c r="E23" s="16">
        <v>31750</v>
      </c>
      <c r="F23" s="16">
        <v>31750</v>
      </c>
      <c r="G23" s="16">
        <v>35280</v>
      </c>
    </row>
    <row r="24" spans="1:7" x14ac:dyDescent="0.25">
      <c r="A24" t="s">
        <v>85</v>
      </c>
      <c r="B24" t="s">
        <v>86</v>
      </c>
      <c r="C24" s="16">
        <v>150</v>
      </c>
      <c r="D24" s="16">
        <v>175</v>
      </c>
      <c r="E24" s="16">
        <v>190</v>
      </c>
      <c r="F24" s="16">
        <v>190</v>
      </c>
      <c r="G24" s="16">
        <v>210</v>
      </c>
    </row>
    <row r="25" spans="1:7" x14ac:dyDescent="0.25">
      <c r="A25" t="s">
        <v>87</v>
      </c>
      <c r="B25" t="s">
        <v>88</v>
      </c>
      <c r="C25" s="16">
        <v>210</v>
      </c>
      <c r="D25" s="16">
        <v>250</v>
      </c>
      <c r="E25" s="16">
        <v>270</v>
      </c>
      <c r="F25" s="16">
        <v>270</v>
      </c>
      <c r="G25" s="16">
        <v>300</v>
      </c>
    </row>
    <row r="26" spans="1:7" x14ac:dyDescent="0.25">
      <c r="A26" t="s">
        <v>89</v>
      </c>
      <c r="B26" t="s">
        <v>90</v>
      </c>
      <c r="C26" s="16">
        <v>1230</v>
      </c>
      <c r="D26" s="16">
        <v>1450</v>
      </c>
      <c r="E26" s="16">
        <v>1565</v>
      </c>
      <c r="F26" s="16">
        <v>1565</v>
      </c>
      <c r="G26" s="16">
        <v>1740</v>
      </c>
    </row>
    <row r="27" spans="1:7" x14ac:dyDescent="0.25">
      <c r="A27" t="s">
        <v>91</v>
      </c>
      <c r="B27" t="s">
        <v>92</v>
      </c>
      <c r="C27" s="16">
        <v>3570</v>
      </c>
      <c r="D27" s="16">
        <v>4200</v>
      </c>
      <c r="E27" s="16">
        <v>4535</v>
      </c>
      <c r="F27" s="16">
        <v>4535</v>
      </c>
      <c r="G27" s="16">
        <v>5040</v>
      </c>
    </row>
    <row r="28" spans="1:7" x14ac:dyDescent="0.25">
      <c r="A28" t="s">
        <v>93</v>
      </c>
      <c r="B28" t="s">
        <v>94</v>
      </c>
      <c r="C28" s="16">
        <v>29750</v>
      </c>
      <c r="D28" s="16">
        <v>35000</v>
      </c>
      <c r="E28" s="16">
        <v>37800</v>
      </c>
      <c r="F28" s="16">
        <v>37800</v>
      </c>
      <c r="G28" s="16">
        <v>42000</v>
      </c>
    </row>
    <row r="29" spans="1:7" x14ac:dyDescent="0.25">
      <c r="A29" t="s">
        <v>95</v>
      </c>
      <c r="B29" t="s">
        <v>96</v>
      </c>
      <c r="C29" s="16">
        <v>85</v>
      </c>
      <c r="D29" s="16">
        <v>100</v>
      </c>
      <c r="E29" s="16">
        <v>110</v>
      </c>
      <c r="F29" s="16">
        <v>110</v>
      </c>
      <c r="G29" s="16">
        <v>120</v>
      </c>
    </row>
    <row r="30" spans="1:7" x14ac:dyDescent="0.25">
      <c r="A30" t="s">
        <v>97</v>
      </c>
      <c r="B30" t="s">
        <v>98</v>
      </c>
      <c r="C30" s="16">
        <v>255</v>
      </c>
      <c r="D30" s="16">
        <v>300</v>
      </c>
      <c r="E30" s="16">
        <v>325</v>
      </c>
      <c r="F30" s="16">
        <v>325</v>
      </c>
      <c r="G30" s="16">
        <v>360</v>
      </c>
    </row>
    <row r="31" spans="1:7" x14ac:dyDescent="0.25">
      <c r="A31" t="s">
        <v>99</v>
      </c>
      <c r="B31" t="s">
        <v>100</v>
      </c>
      <c r="C31" s="16">
        <v>1105</v>
      </c>
      <c r="D31" s="16">
        <v>1300</v>
      </c>
      <c r="E31" s="16">
        <v>1405</v>
      </c>
      <c r="F31" s="16">
        <v>1405</v>
      </c>
      <c r="G31" s="16">
        <v>1560</v>
      </c>
    </row>
    <row r="32" spans="1:7" x14ac:dyDescent="0.25">
      <c r="A32" t="s">
        <v>101</v>
      </c>
      <c r="B32" t="s">
        <v>102</v>
      </c>
      <c r="C32" s="16">
        <v>2040</v>
      </c>
      <c r="D32" s="16">
        <v>2400</v>
      </c>
      <c r="E32" s="16">
        <v>2590</v>
      </c>
      <c r="F32" s="16">
        <v>2590</v>
      </c>
      <c r="G32" s="16">
        <v>2880</v>
      </c>
    </row>
    <row r="33" spans="1:7" x14ac:dyDescent="0.25">
      <c r="A33" t="s">
        <v>103</v>
      </c>
      <c r="B33" t="s">
        <v>104</v>
      </c>
      <c r="C33" s="16">
        <v>42500</v>
      </c>
      <c r="D33" s="16">
        <v>50000</v>
      </c>
      <c r="E33" s="16">
        <v>54000</v>
      </c>
      <c r="F33" s="16">
        <v>54000</v>
      </c>
      <c r="G33" s="16">
        <v>60000</v>
      </c>
    </row>
    <row r="34" spans="1:7" x14ac:dyDescent="0.25">
      <c r="A34" t="s">
        <v>105</v>
      </c>
      <c r="B34" t="s">
        <v>106</v>
      </c>
      <c r="C34" s="16">
        <v>445</v>
      </c>
      <c r="D34" s="16">
        <v>525</v>
      </c>
      <c r="E34" s="16">
        <v>565</v>
      </c>
      <c r="F34" s="16">
        <v>565</v>
      </c>
      <c r="G34" s="16">
        <v>630</v>
      </c>
    </row>
    <row r="35" spans="1:7" x14ac:dyDescent="0.25">
      <c r="A35" t="s">
        <v>107</v>
      </c>
      <c r="C35" s="16">
        <v>295</v>
      </c>
      <c r="D35" s="16">
        <v>350</v>
      </c>
      <c r="E35" s="16">
        <v>380</v>
      </c>
      <c r="F35" s="16">
        <v>380</v>
      </c>
      <c r="G35" s="16">
        <v>420</v>
      </c>
    </row>
    <row r="36" spans="1:7" x14ac:dyDescent="0.25">
      <c r="A36" t="s">
        <v>108</v>
      </c>
      <c r="C36" s="16">
        <v>550</v>
      </c>
      <c r="D36" s="16">
        <v>650</v>
      </c>
      <c r="E36" s="16">
        <v>700</v>
      </c>
      <c r="F36" s="16">
        <v>700</v>
      </c>
      <c r="G36" s="16">
        <v>780</v>
      </c>
    </row>
    <row r="37" spans="1:7" x14ac:dyDescent="0.25">
      <c r="A37" t="s">
        <v>109</v>
      </c>
      <c r="C37" s="16">
        <v>935</v>
      </c>
      <c r="D37" s="16">
        <v>1100</v>
      </c>
      <c r="E37" s="16">
        <v>1190</v>
      </c>
      <c r="F37" s="16">
        <v>1190</v>
      </c>
      <c r="G37" s="16">
        <v>1320</v>
      </c>
    </row>
    <row r="38" spans="1:7" x14ac:dyDescent="0.25">
      <c r="A38" t="s">
        <v>110</v>
      </c>
      <c r="C38" s="16">
        <v>2720</v>
      </c>
      <c r="D38" s="16">
        <v>3200</v>
      </c>
      <c r="E38" s="16">
        <v>3455</v>
      </c>
      <c r="F38" s="16">
        <v>3455</v>
      </c>
      <c r="G38" s="16">
        <v>3840</v>
      </c>
    </row>
    <row r="39" spans="1:7" x14ac:dyDescent="0.25">
      <c r="A39" t="s">
        <v>111</v>
      </c>
      <c r="C39" s="16">
        <v>46750</v>
      </c>
      <c r="D39" s="16">
        <v>55000</v>
      </c>
      <c r="E39" s="16">
        <v>59400</v>
      </c>
      <c r="F39" s="16">
        <v>59400</v>
      </c>
      <c r="G39" s="16">
        <v>66000</v>
      </c>
    </row>
    <row r="40" spans="1:7" x14ac:dyDescent="0.25">
      <c r="A40" t="s">
        <v>112</v>
      </c>
      <c r="C40" s="16">
        <v>210</v>
      </c>
      <c r="D40" s="16">
        <v>250</v>
      </c>
      <c r="E40" s="16">
        <v>270</v>
      </c>
      <c r="F40" s="16">
        <v>270</v>
      </c>
      <c r="G40" s="16">
        <v>300</v>
      </c>
    </row>
    <row r="41" spans="1:7" x14ac:dyDescent="0.25">
      <c r="A41" t="s">
        <v>113</v>
      </c>
      <c r="C41" s="16">
        <v>340</v>
      </c>
      <c r="D41" s="16">
        <v>400</v>
      </c>
      <c r="E41" s="16">
        <v>430</v>
      </c>
      <c r="F41" s="16">
        <v>430</v>
      </c>
      <c r="G41" s="16">
        <v>480</v>
      </c>
    </row>
    <row r="42" spans="1:7" x14ac:dyDescent="0.25">
      <c r="A42" t="s">
        <v>114</v>
      </c>
      <c r="C42" s="16">
        <v>935</v>
      </c>
      <c r="D42" s="16">
        <v>1100</v>
      </c>
      <c r="E42" s="16">
        <v>1190</v>
      </c>
      <c r="F42" s="16">
        <v>1190</v>
      </c>
      <c r="G42" s="16">
        <v>1320</v>
      </c>
    </row>
    <row r="43" spans="1:7" x14ac:dyDescent="0.25">
      <c r="A43" t="s">
        <v>115</v>
      </c>
      <c r="C43" s="16">
        <v>2635</v>
      </c>
      <c r="D43" s="16">
        <v>3100</v>
      </c>
      <c r="E43" s="16">
        <v>3350</v>
      </c>
      <c r="F43" s="16">
        <v>3350</v>
      </c>
      <c r="G43" s="16">
        <v>3720</v>
      </c>
    </row>
    <row r="44" spans="1:7" x14ac:dyDescent="0.25">
      <c r="A44" t="s">
        <v>116</v>
      </c>
      <c r="C44" s="16">
        <v>21675</v>
      </c>
      <c r="D44" s="16">
        <v>25500</v>
      </c>
      <c r="E44" s="16">
        <v>27540</v>
      </c>
      <c r="F44" s="16">
        <v>27540</v>
      </c>
      <c r="G44" s="16">
        <v>30600</v>
      </c>
    </row>
    <row r="45" spans="1:7" x14ac:dyDescent="0.25">
      <c r="A45" t="s">
        <v>117</v>
      </c>
      <c r="C45" s="16">
        <v>170</v>
      </c>
      <c r="D45" s="16">
        <v>200</v>
      </c>
      <c r="E45" s="16">
        <v>215</v>
      </c>
      <c r="F45" s="16">
        <v>215</v>
      </c>
      <c r="G45" s="16">
        <v>240</v>
      </c>
    </row>
    <row r="46" spans="1:7" x14ac:dyDescent="0.25">
      <c r="A46" t="s">
        <v>118</v>
      </c>
      <c r="C46" s="16">
        <v>255</v>
      </c>
      <c r="D46" s="16">
        <v>300</v>
      </c>
      <c r="E46" s="16">
        <v>325</v>
      </c>
      <c r="F46" s="16">
        <v>325</v>
      </c>
      <c r="G46" s="16">
        <v>360</v>
      </c>
    </row>
    <row r="47" spans="1:7" x14ac:dyDescent="0.25">
      <c r="A47" t="s">
        <v>119</v>
      </c>
      <c r="C47" s="16">
        <v>580</v>
      </c>
      <c r="D47" s="16">
        <v>700</v>
      </c>
      <c r="E47" s="16">
        <v>865</v>
      </c>
      <c r="F47" s="16">
        <v>865</v>
      </c>
      <c r="G47" s="16">
        <v>960</v>
      </c>
    </row>
    <row r="48" spans="1:7" x14ac:dyDescent="0.25">
      <c r="A48" t="s">
        <v>120</v>
      </c>
      <c r="C48" s="16">
        <v>2380</v>
      </c>
      <c r="D48" s="16">
        <v>2800</v>
      </c>
      <c r="E48" s="16">
        <v>3025</v>
      </c>
      <c r="F48" s="16">
        <v>3025</v>
      </c>
      <c r="G48" s="16">
        <v>3360</v>
      </c>
    </row>
    <row r="49" spans="1:7" x14ac:dyDescent="0.25">
      <c r="A49" t="s">
        <v>121</v>
      </c>
      <c r="C49" s="16">
        <v>23800</v>
      </c>
      <c r="D49" s="16">
        <v>28000</v>
      </c>
      <c r="E49" s="16">
        <v>30240</v>
      </c>
      <c r="F49" s="16">
        <v>30240</v>
      </c>
      <c r="G49" s="16">
        <v>33600</v>
      </c>
    </row>
    <row r="50" spans="1:7" x14ac:dyDescent="0.25">
      <c r="A50" t="s">
        <v>122</v>
      </c>
      <c r="B50" t="s">
        <v>123</v>
      </c>
      <c r="C50" s="16">
        <v>240</v>
      </c>
      <c r="D50" s="16">
        <v>280</v>
      </c>
      <c r="E50" s="16">
        <v>300</v>
      </c>
      <c r="F50" s="16">
        <v>300</v>
      </c>
      <c r="G50" s="16">
        <v>310</v>
      </c>
    </row>
    <row r="51" spans="1:7" x14ac:dyDescent="0.25">
      <c r="A51" t="s">
        <v>124</v>
      </c>
      <c r="C51" s="16">
        <v>125</v>
      </c>
      <c r="D51" s="16">
        <v>150</v>
      </c>
      <c r="E51" s="16">
        <v>160</v>
      </c>
      <c r="F51" s="16">
        <v>160</v>
      </c>
      <c r="G51" s="16">
        <v>180</v>
      </c>
    </row>
    <row r="52" spans="1:7" x14ac:dyDescent="0.25">
      <c r="A52" t="s">
        <v>125</v>
      </c>
      <c r="C52" s="16">
        <v>255</v>
      </c>
      <c r="D52" s="16">
        <v>300</v>
      </c>
      <c r="E52" s="16">
        <v>325</v>
      </c>
      <c r="F52" s="16">
        <v>325</v>
      </c>
      <c r="G52" s="16">
        <v>360</v>
      </c>
    </row>
    <row r="53" spans="1:7" x14ac:dyDescent="0.25">
      <c r="A53" t="s">
        <v>126</v>
      </c>
      <c r="C53" s="16">
        <v>510</v>
      </c>
      <c r="D53" s="16">
        <v>600</v>
      </c>
      <c r="E53" s="16">
        <v>650</v>
      </c>
      <c r="F53" s="16">
        <v>650</v>
      </c>
      <c r="G53" s="16">
        <v>720</v>
      </c>
    </row>
    <row r="54" spans="1:7" x14ac:dyDescent="0.25">
      <c r="A54" t="s">
        <v>127</v>
      </c>
      <c r="C54" s="16">
        <v>2975</v>
      </c>
      <c r="D54" s="16">
        <v>3500</v>
      </c>
      <c r="E54" s="16">
        <v>3780</v>
      </c>
      <c r="F54" s="16">
        <v>3780</v>
      </c>
      <c r="G54" s="16">
        <v>4200</v>
      </c>
    </row>
    <row r="55" spans="1:7" x14ac:dyDescent="0.25">
      <c r="A55" t="s">
        <v>128</v>
      </c>
      <c r="C55" s="16">
        <v>38675</v>
      </c>
      <c r="D55" s="16">
        <v>45500</v>
      </c>
      <c r="E55" s="16">
        <v>49140</v>
      </c>
      <c r="F55" s="16">
        <v>49140</v>
      </c>
      <c r="G55" s="16">
        <v>54600</v>
      </c>
    </row>
    <row r="56" spans="1:7" x14ac:dyDescent="0.25">
      <c r="A56" t="s">
        <v>129</v>
      </c>
      <c r="C56" s="16">
        <v>85</v>
      </c>
      <c r="D56" s="16">
        <v>100</v>
      </c>
      <c r="E56" s="16">
        <v>110</v>
      </c>
      <c r="F56" s="16">
        <v>110</v>
      </c>
      <c r="G56" s="16">
        <v>120</v>
      </c>
    </row>
    <row r="57" spans="1:7" x14ac:dyDescent="0.25">
      <c r="A57" t="s">
        <v>130</v>
      </c>
      <c r="C57" s="16">
        <v>190</v>
      </c>
      <c r="D57" s="16">
        <v>225</v>
      </c>
      <c r="E57" s="16">
        <v>245</v>
      </c>
      <c r="F57" s="16">
        <v>245</v>
      </c>
      <c r="G57" s="16">
        <v>270</v>
      </c>
    </row>
    <row r="58" spans="1:7" x14ac:dyDescent="0.25">
      <c r="A58" t="s">
        <v>131</v>
      </c>
      <c r="C58" s="16">
        <v>465</v>
      </c>
      <c r="D58" s="16">
        <v>550</v>
      </c>
      <c r="E58" s="16">
        <v>595</v>
      </c>
      <c r="F58" s="16">
        <v>595</v>
      </c>
      <c r="G58" s="16">
        <v>660</v>
      </c>
    </row>
    <row r="59" spans="1:7" x14ac:dyDescent="0.25">
      <c r="A59" t="s">
        <v>132</v>
      </c>
      <c r="C59" s="16">
        <v>2295</v>
      </c>
      <c r="D59" s="16">
        <v>2700</v>
      </c>
      <c r="E59" s="16">
        <v>2915</v>
      </c>
      <c r="F59" s="16">
        <v>2915</v>
      </c>
      <c r="G59" s="16">
        <v>3240</v>
      </c>
    </row>
    <row r="60" spans="1:7" x14ac:dyDescent="0.25">
      <c r="A60" t="s">
        <v>133</v>
      </c>
      <c r="C60" s="16">
        <v>12750</v>
      </c>
      <c r="D60" s="16">
        <v>15000</v>
      </c>
      <c r="E60" s="16">
        <v>16200</v>
      </c>
      <c r="F60" s="16">
        <v>16200</v>
      </c>
      <c r="G60" s="16">
        <v>18000</v>
      </c>
    </row>
    <row r="61" spans="1:7" x14ac:dyDescent="0.25">
      <c r="A61" t="s">
        <v>134</v>
      </c>
      <c r="C61" s="16">
        <v>85</v>
      </c>
      <c r="D61" s="16">
        <v>100</v>
      </c>
      <c r="E61" s="16">
        <v>110</v>
      </c>
      <c r="F61" s="16">
        <v>110</v>
      </c>
      <c r="G61" s="16">
        <v>130</v>
      </c>
    </row>
    <row r="62" spans="1:7" x14ac:dyDescent="0.25">
      <c r="A62" t="s">
        <v>135</v>
      </c>
      <c r="C62" s="16">
        <v>85</v>
      </c>
      <c r="D62" s="16">
        <v>100</v>
      </c>
      <c r="E62" s="16">
        <v>110</v>
      </c>
      <c r="F62" s="16">
        <v>110</v>
      </c>
      <c r="G62" s="16">
        <v>130</v>
      </c>
    </row>
    <row r="63" spans="1:7" x14ac:dyDescent="0.25">
      <c r="A63" t="s">
        <v>136</v>
      </c>
      <c r="C63" s="16">
        <v>380</v>
      </c>
      <c r="D63" s="16">
        <v>450</v>
      </c>
      <c r="E63" s="16">
        <v>485</v>
      </c>
      <c r="F63" s="16">
        <v>485</v>
      </c>
      <c r="G63" s="16">
        <v>540</v>
      </c>
    </row>
    <row r="64" spans="1:7" x14ac:dyDescent="0.25">
      <c r="A64" t="s">
        <v>137</v>
      </c>
      <c r="C64" s="16">
        <v>2720</v>
      </c>
      <c r="D64" s="16">
        <v>3200</v>
      </c>
      <c r="E64" s="16">
        <v>3455</v>
      </c>
      <c r="F64" s="16">
        <v>3455</v>
      </c>
      <c r="G64" s="16">
        <v>3840</v>
      </c>
    </row>
    <row r="65" spans="1:7" x14ac:dyDescent="0.25">
      <c r="A65" t="s">
        <v>138</v>
      </c>
      <c r="C65" s="16">
        <v>17000</v>
      </c>
      <c r="D65" s="16">
        <v>20000</v>
      </c>
      <c r="E65" s="16">
        <v>21600</v>
      </c>
      <c r="F65" s="16">
        <v>21600</v>
      </c>
      <c r="G65" s="16">
        <v>24000</v>
      </c>
    </row>
    <row r="66" spans="1:7" x14ac:dyDescent="0.25">
      <c r="A66" t="s">
        <v>139</v>
      </c>
      <c r="B66" t="s">
        <v>140</v>
      </c>
      <c r="C66" s="16">
        <v>425</v>
      </c>
      <c r="D66" s="16">
        <v>500</v>
      </c>
      <c r="E66" s="16">
        <v>540</v>
      </c>
      <c r="F66" s="16">
        <v>540</v>
      </c>
      <c r="G66" s="16">
        <v>600</v>
      </c>
    </row>
    <row r="67" spans="1:7" x14ac:dyDescent="0.25">
      <c r="A67" t="s">
        <v>141</v>
      </c>
      <c r="C67" s="16">
        <v>125</v>
      </c>
      <c r="D67" s="16">
        <v>150</v>
      </c>
      <c r="E67" s="16">
        <v>160</v>
      </c>
      <c r="F67" s="16">
        <v>160</v>
      </c>
      <c r="G67" s="16">
        <v>180</v>
      </c>
    </row>
    <row r="68" spans="1:7" x14ac:dyDescent="0.25">
      <c r="A68" t="s">
        <v>142</v>
      </c>
      <c r="C68" s="16">
        <v>295</v>
      </c>
      <c r="D68" s="16">
        <v>350</v>
      </c>
      <c r="E68" s="16">
        <v>380</v>
      </c>
      <c r="F68" s="16">
        <v>380</v>
      </c>
      <c r="G68" s="16">
        <v>420</v>
      </c>
    </row>
    <row r="69" spans="1:7" x14ac:dyDescent="0.25">
      <c r="A69" t="s">
        <v>143</v>
      </c>
      <c r="C69" s="16">
        <v>1275</v>
      </c>
      <c r="D69" s="16">
        <v>1500</v>
      </c>
      <c r="E69" s="16">
        <v>1620</v>
      </c>
      <c r="F69" s="16">
        <v>1620</v>
      </c>
      <c r="G69" s="16">
        <v>1800</v>
      </c>
    </row>
    <row r="70" spans="1:7" x14ac:dyDescent="0.25">
      <c r="A70" t="s">
        <v>144</v>
      </c>
      <c r="C70" s="16">
        <v>1870</v>
      </c>
      <c r="D70" s="16">
        <v>2200</v>
      </c>
      <c r="E70" s="16">
        <v>2375</v>
      </c>
      <c r="F70" s="16">
        <v>2375</v>
      </c>
      <c r="G70" s="16">
        <v>2640</v>
      </c>
    </row>
    <row r="71" spans="1:7" x14ac:dyDescent="0.25">
      <c r="A71" t="s">
        <v>145</v>
      </c>
      <c r="C71" s="16">
        <v>23800</v>
      </c>
      <c r="D71" s="16">
        <v>28000</v>
      </c>
      <c r="E71" s="16">
        <v>30240</v>
      </c>
      <c r="F71" s="16">
        <v>30240</v>
      </c>
      <c r="G71" s="16">
        <v>33600</v>
      </c>
    </row>
    <row r="72" spans="1:7" x14ac:dyDescent="0.25">
      <c r="A72" t="s">
        <v>146</v>
      </c>
      <c r="C72" s="16">
        <v>190</v>
      </c>
      <c r="D72" s="16">
        <v>225</v>
      </c>
      <c r="E72" s="16">
        <v>245</v>
      </c>
      <c r="F72" s="16">
        <v>245</v>
      </c>
      <c r="G72" s="16">
        <v>270</v>
      </c>
    </row>
    <row r="73" spans="1:7" x14ac:dyDescent="0.25">
      <c r="A73" t="s">
        <v>147</v>
      </c>
      <c r="C73" s="16">
        <v>380</v>
      </c>
      <c r="D73" s="16">
        <v>450</v>
      </c>
      <c r="E73" s="16">
        <v>485</v>
      </c>
      <c r="F73" s="16">
        <v>485</v>
      </c>
      <c r="G73" s="16">
        <v>540</v>
      </c>
    </row>
    <row r="74" spans="1:7" x14ac:dyDescent="0.25">
      <c r="A74" t="s">
        <v>148</v>
      </c>
      <c r="C74" s="16">
        <v>2380</v>
      </c>
      <c r="D74" s="16">
        <v>2800</v>
      </c>
      <c r="E74" s="16">
        <v>3025</v>
      </c>
      <c r="F74" s="16">
        <v>3025</v>
      </c>
      <c r="G74" s="16">
        <v>3360</v>
      </c>
    </row>
    <row r="75" spans="1:7" x14ac:dyDescent="0.25">
      <c r="A75" t="s">
        <v>149</v>
      </c>
      <c r="C75" s="16">
        <v>3230</v>
      </c>
      <c r="D75" s="16">
        <v>3800</v>
      </c>
      <c r="E75" s="16">
        <v>4105</v>
      </c>
      <c r="F75" s="16">
        <v>4105</v>
      </c>
      <c r="G75" s="16">
        <v>4560</v>
      </c>
    </row>
    <row r="76" spans="1:7" x14ac:dyDescent="0.25">
      <c r="A76" t="s">
        <v>150</v>
      </c>
      <c r="C76" s="16">
        <v>16320</v>
      </c>
      <c r="D76" s="16">
        <v>19200</v>
      </c>
      <c r="E76" s="16">
        <v>20735</v>
      </c>
      <c r="F76" s="16">
        <v>20735</v>
      </c>
      <c r="G76" s="16">
        <v>23040</v>
      </c>
    </row>
    <row r="77" spans="1:7" x14ac:dyDescent="0.25">
      <c r="A77" t="s">
        <v>151</v>
      </c>
      <c r="C77" s="16">
        <v>150</v>
      </c>
      <c r="D77" s="16">
        <v>175</v>
      </c>
      <c r="E77" s="16">
        <v>190</v>
      </c>
      <c r="F77" s="16">
        <v>190</v>
      </c>
      <c r="G77" s="16">
        <v>210</v>
      </c>
    </row>
    <row r="78" spans="1:7" x14ac:dyDescent="0.25">
      <c r="A78" t="s">
        <v>152</v>
      </c>
      <c r="C78" s="16">
        <v>190</v>
      </c>
      <c r="D78" s="16">
        <v>225</v>
      </c>
      <c r="E78" s="16">
        <v>245</v>
      </c>
      <c r="F78" s="16">
        <v>245</v>
      </c>
      <c r="G78" s="16">
        <v>270</v>
      </c>
    </row>
    <row r="79" spans="1:7" x14ac:dyDescent="0.25">
      <c r="A79" t="s">
        <v>153</v>
      </c>
      <c r="C79" s="16">
        <v>1910</v>
      </c>
      <c r="D79" s="16">
        <v>2250</v>
      </c>
      <c r="E79" s="16">
        <v>2430</v>
      </c>
      <c r="F79" s="16">
        <v>2430</v>
      </c>
      <c r="G79" s="16">
        <v>2700</v>
      </c>
    </row>
    <row r="80" spans="1:7" x14ac:dyDescent="0.25">
      <c r="A80" t="s">
        <v>154</v>
      </c>
      <c r="C80" s="16">
        <v>2335</v>
      </c>
      <c r="D80" s="16">
        <v>2750</v>
      </c>
      <c r="E80" s="16">
        <v>2970</v>
      </c>
      <c r="F80" s="16">
        <v>2970</v>
      </c>
      <c r="G80" s="16">
        <v>3300</v>
      </c>
    </row>
    <row r="81" spans="1:7" x14ac:dyDescent="0.25">
      <c r="A81" t="s">
        <v>155</v>
      </c>
      <c r="C81" s="16">
        <v>25500</v>
      </c>
      <c r="D81" s="16">
        <v>30000</v>
      </c>
      <c r="E81" s="16">
        <v>32400</v>
      </c>
      <c r="F81" s="16">
        <v>32400</v>
      </c>
      <c r="G81" s="16">
        <v>36000</v>
      </c>
    </row>
    <row r="82" spans="1:7" x14ac:dyDescent="0.25">
      <c r="A82" t="s">
        <v>156</v>
      </c>
      <c r="B82" t="s">
        <v>157</v>
      </c>
      <c r="C82" s="16">
        <v>190</v>
      </c>
      <c r="D82" s="16">
        <v>225</v>
      </c>
      <c r="E82" s="16">
        <v>245</v>
      </c>
      <c r="F82" s="16">
        <v>245</v>
      </c>
      <c r="G82" s="16">
        <v>270</v>
      </c>
    </row>
    <row r="83" spans="1:7" x14ac:dyDescent="0.25">
      <c r="A83" t="s">
        <v>158</v>
      </c>
      <c r="C83" s="16">
        <v>170</v>
      </c>
      <c r="D83" s="16">
        <v>200</v>
      </c>
      <c r="E83" s="16">
        <v>215</v>
      </c>
      <c r="F83" s="16">
        <v>215</v>
      </c>
      <c r="G83" s="16">
        <v>240</v>
      </c>
    </row>
    <row r="84" spans="1:7" x14ac:dyDescent="0.25">
      <c r="A84" t="s">
        <v>159</v>
      </c>
      <c r="C84" s="16">
        <v>255</v>
      </c>
      <c r="D84" s="16">
        <v>300</v>
      </c>
      <c r="E84" s="16">
        <v>325</v>
      </c>
      <c r="F84" s="16">
        <v>325</v>
      </c>
      <c r="G84" s="16">
        <v>360</v>
      </c>
    </row>
    <row r="85" spans="1:7" x14ac:dyDescent="0.25">
      <c r="A85" t="s">
        <v>160</v>
      </c>
      <c r="C85" s="16">
        <v>2125</v>
      </c>
      <c r="D85" s="16">
        <v>2500</v>
      </c>
      <c r="E85" s="16">
        <v>2700</v>
      </c>
      <c r="F85" s="16">
        <v>2700</v>
      </c>
      <c r="G85" s="16">
        <v>3000</v>
      </c>
    </row>
    <row r="86" spans="1:7" x14ac:dyDescent="0.25">
      <c r="A86" t="s">
        <v>161</v>
      </c>
      <c r="C86" s="16">
        <v>3250</v>
      </c>
      <c r="D86" s="16">
        <v>4000</v>
      </c>
      <c r="E86" s="16">
        <v>5400</v>
      </c>
      <c r="F86" s="16">
        <v>5400</v>
      </c>
      <c r="G86" s="16">
        <v>6000</v>
      </c>
    </row>
    <row r="87" spans="1:7" x14ac:dyDescent="0.25">
      <c r="A87" t="s">
        <v>162</v>
      </c>
      <c r="C87" s="16">
        <v>18700</v>
      </c>
      <c r="D87" s="16">
        <v>22000</v>
      </c>
      <c r="E87" s="16">
        <v>23760</v>
      </c>
      <c r="F87" s="16">
        <v>23760</v>
      </c>
      <c r="G87" s="16">
        <v>26400</v>
      </c>
    </row>
    <row r="88" spans="1:7" x14ac:dyDescent="0.25">
      <c r="A88" t="s">
        <v>163</v>
      </c>
      <c r="C88" s="16">
        <v>85</v>
      </c>
      <c r="D88" s="16">
        <v>100</v>
      </c>
      <c r="E88" s="16">
        <v>110</v>
      </c>
      <c r="F88" s="16">
        <v>110</v>
      </c>
      <c r="G88" s="16">
        <v>120</v>
      </c>
    </row>
    <row r="89" spans="1:7" x14ac:dyDescent="0.25">
      <c r="A89" t="s">
        <v>164</v>
      </c>
      <c r="C89" s="16">
        <v>1230</v>
      </c>
      <c r="D89" s="16">
        <v>1450</v>
      </c>
      <c r="E89" s="16">
        <v>1565</v>
      </c>
      <c r="F89" s="16">
        <v>1565</v>
      </c>
      <c r="G89" s="16">
        <v>1165</v>
      </c>
    </row>
    <row r="90" spans="1:7" x14ac:dyDescent="0.25">
      <c r="A90" t="s">
        <v>165</v>
      </c>
      <c r="C90" s="16">
        <v>1785</v>
      </c>
      <c r="D90" s="16">
        <v>2100</v>
      </c>
      <c r="E90" s="16">
        <v>2270</v>
      </c>
      <c r="F90" s="16">
        <v>2270</v>
      </c>
      <c r="G90" s="16">
        <v>2520</v>
      </c>
    </row>
    <row r="91" spans="1:7" x14ac:dyDescent="0.25">
      <c r="A91" t="s">
        <v>166</v>
      </c>
      <c r="C91" s="16">
        <v>3270</v>
      </c>
      <c r="D91" s="16">
        <v>3850</v>
      </c>
      <c r="E91" s="16">
        <v>4160</v>
      </c>
      <c r="F91" s="16">
        <v>4160</v>
      </c>
      <c r="G91" s="16">
        <v>4620</v>
      </c>
    </row>
    <row r="92" spans="1:7" x14ac:dyDescent="0.25">
      <c r="A92" t="s">
        <v>167</v>
      </c>
      <c r="C92" s="16">
        <v>13600</v>
      </c>
      <c r="D92" s="16">
        <v>16000</v>
      </c>
      <c r="E92" s="16">
        <v>17280</v>
      </c>
      <c r="F92" s="16">
        <v>17280</v>
      </c>
      <c r="G92" s="16">
        <v>19200</v>
      </c>
    </row>
    <row r="93" spans="1:7" x14ac:dyDescent="0.25">
      <c r="A93" t="s">
        <v>168</v>
      </c>
      <c r="C93" s="16">
        <v>240</v>
      </c>
      <c r="D93" s="16">
        <v>280</v>
      </c>
      <c r="E93" s="16">
        <v>300</v>
      </c>
      <c r="F93" s="16">
        <v>300</v>
      </c>
      <c r="G93" s="16">
        <v>335</v>
      </c>
    </row>
    <row r="94" spans="1:7" x14ac:dyDescent="0.25">
      <c r="A94" t="s">
        <v>169</v>
      </c>
      <c r="C94" s="16">
        <v>340</v>
      </c>
      <c r="D94" s="16">
        <v>400</v>
      </c>
      <c r="E94" s="16">
        <v>430</v>
      </c>
      <c r="F94" s="16">
        <v>430</v>
      </c>
      <c r="G94" s="16">
        <v>480</v>
      </c>
    </row>
    <row r="95" spans="1:7" x14ac:dyDescent="0.25">
      <c r="A95" t="s">
        <v>170</v>
      </c>
      <c r="C95" s="16">
        <v>3060</v>
      </c>
      <c r="D95" s="16">
        <v>3600</v>
      </c>
      <c r="E95" s="16">
        <v>3890</v>
      </c>
      <c r="F95" s="16">
        <v>3890</v>
      </c>
      <c r="G95" s="16">
        <v>4320</v>
      </c>
    </row>
    <row r="96" spans="1:7" x14ac:dyDescent="0.25">
      <c r="A96" t="s">
        <v>171</v>
      </c>
      <c r="C96" s="16">
        <v>2550</v>
      </c>
      <c r="D96" s="16">
        <v>3000</v>
      </c>
      <c r="E96" s="16">
        <v>3240</v>
      </c>
      <c r="F96" s="16">
        <v>3240</v>
      </c>
      <c r="G96" s="16">
        <v>4080</v>
      </c>
    </row>
    <row r="97" spans="1:7" x14ac:dyDescent="0.25">
      <c r="A97" t="s">
        <v>172</v>
      </c>
      <c r="C97" s="16">
        <v>20400</v>
      </c>
      <c r="D97" s="16">
        <v>24000</v>
      </c>
      <c r="E97" s="16">
        <v>25920</v>
      </c>
      <c r="F97" s="16">
        <v>25920</v>
      </c>
      <c r="G97" s="16">
        <v>28800</v>
      </c>
    </row>
    <row r="98" spans="1:7" x14ac:dyDescent="0.25">
      <c r="A98" t="s">
        <v>173</v>
      </c>
      <c r="B98" t="s">
        <v>174</v>
      </c>
      <c r="C98" s="16">
        <v>300</v>
      </c>
      <c r="D98" s="16">
        <v>350</v>
      </c>
      <c r="E98" s="16">
        <v>380</v>
      </c>
      <c r="F98" s="16">
        <v>380</v>
      </c>
      <c r="G98" s="16">
        <v>420</v>
      </c>
    </row>
    <row r="99" spans="1:7" x14ac:dyDescent="0.25">
      <c r="A99" t="s">
        <v>175</v>
      </c>
      <c r="B99" t="s">
        <v>176</v>
      </c>
      <c r="C99" s="16">
        <v>295</v>
      </c>
      <c r="D99" s="16">
        <v>350</v>
      </c>
      <c r="E99" s="16">
        <v>380</v>
      </c>
      <c r="F99" s="16">
        <v>380</v>
      </c>
      <c r="G99" s="16">
        <v>420</v>
      </c>
    </row>
    <row r="100" spans="1:7" x14ac:dyDescent="0.25">
      <c r="A100" t="s">
        <v>177</v>
      </c>
      <c r="B100" t="s">
        <v>178</v>
      </c>
      <c r="C100" s="16">
        <v>1105</v>
      </c>
      <c r="D100" s="16">
        <v>1300</v>
      </c>
      <c r="E100" s="16">
        <v>1405</v>
      </c>
      <c r="F100" s="16">
        <v>1405</v>
      </c>
      <c r="G100" s="16">
        <v>1560</v>
      </c>
    </row>
    <row r="101" spans="1:7" x14ac:dyDescent="0.25">
      <c r="A101" t="s">
        <v>179</v>
      </c>
      <c r="B101" t="s">
        <v>180</v>
      </c>
      <c r="C101" s="16">
        <v>2550</v>
      </c>
      <c r="D101" s="16">
        <v>3000</v>
      </c>
      <c r="E101" s="16">
        <v>3240</v>
      </c>
      <c r="F101" s="16">
        <v>3240</v>
      </c>
      <c r="G101" s="16">
        <v>3600</v>
      </c>
    </row>
    <row r="102" spans="1:7" x14ac:dyDescent="0.25">
      <c r="A102" t="s">
        <v>181</v>
      </c>
      <c r="B102" t="s">
        <v>182</v>
      </c>
      <c r="C102" s="16">
        <v>3800</v>
      </c>
      <c r="D102" s="16">
        <v>4650</v>
      </c>
      <c r="E102" s="16">
        <v>6100</v>
      </c>
      <c r="F102" s="16">
        <v>6100</v>
      </c>
      <c r="G102" s="16">
        <v>6780</v>
      </c>
    </row>
    <row r="103" spans="1:7" x14ac:dyDescent="0.25">
      <c r="A103" t="s">
        <v>183</v>
      </c>
      <c r="B103" t="s">
        <v>184</v>
      </c>
      <c r="C103" s="16">
        <v>27200</v>
      </c>
      <c r="D103" s="16">
        <v>32000</v>
      </c>
      <c r="E103" s="16">
        <v>34560</v>
      </c>
      <c r="F103" s="16">
        <v>34560</v>
      </c>
      <c r="G103" s="16">
        <v>38400</v>
      </c>
    </row>
    <row r="104" spans="1:7" x14ac:dyDescent="0.25">
      <c r="A104" t="s">
        <v>185</v>
      </c>
      <c r="B104" t="s">
        <v>186</v>
      </c>
      <c r="C104" s="16">
        <v>210</v>
      </c>
      <c r="D104" s="16">
        <v>250</v>
      </c>
      <c r="E104" s="16">
        <v>270</v>
      </c>
      <c r="F104" s="16">
        <v>270</v>
      </c>
      <c r="G104" s="16">
        <v>300</v>
      </c>
    </row>
    <row r="105" spans="1:7" x14ac:dyDescent="0.25">
      <c r="A105" t="s">
        <v>187</v>
      </c>
      <c r="B105" t="s">
        <v>188</v>
      </c>
      <c r="C105" s="16">
        <v>380</v>
      </c>
      <c r="D105" s="16">
        <v>450</v>
      </c>
      <c r="E105" s="16">
        <v>485</v>
      </c>
      <c r="F105" s="16">
        <v>485</v>
      </c>
      <c r="G105" s="16">
        <v>540</v>
      </c>
    </row>
    <row r="106" spans="1:7" x14ac:dyDescent="0.25">
      <c r="A106" t="s">
        <v>189</v>
      </c>
      <c r="B106" t="s">
        <v>190</v>
      </c>
      <c r="C106" s="16">
        <v>2040</v>
      </c>
      <c r="D106" s="16">
        <v>2400</v>
      </c>
      <c r="E106" s="16">
        <v>2590</v>
      </c>
      <c r="F106" s="16">
        <v>2590</v>
      </c>
      <c r="G106" s="16">
        <v>2880</v>
      </c>
    </row>
    <row r="107" spans="1:7" x14ac:dyDescent="0.25">
      <c r="A107" t="s">
        <v>191</v>
      </c>
      <c r="B107" t="s">
        <v>192</v>
      </c>
      <c r="C107" s="16">
        <v>6460</v>
      </c>
      <c r="D107" s="16">
        <v>7600</v>
      </c>
      <c r="E107" s="16">
        <v>8210</v>
      </c>
      <c r="F107" s="16">
        <v>8210</v>
      </c>
      <c r="G107" s="16">
        <v>9120</v>
      </c>
    </row>
    <row r="108" spans="1:7" x14ac:dyDescent="0.25">
      <c r="A108" t="s">
        <v>193</v>
      </c>
      <c r="B108" t="s">
        <v>194</v>
      </c>
      <c r="C108" s="16">
        <v>12325</v>
      </c>
      <c r="D108" s="16">
        <v>14500</v>
      </c>
      <c r="E108" s="16">
        <v>15660</v>
      </c>
      <c r="F108" s="16">
        <v>15660</v>
      </c>
      <c r="G108" s="16">
        <v>17400</v>
      </c>
    </row>
    <row r="109" spans="1:7" x14ac:dyDescent="0.25">
      <c r="A109" t="s">
        <v>195</v>
      </c>
      <c r="B109" t="s">
        <v>196</v>
      </c>
      <c r="C109" s="16">
        <v>380</v>
      </c>
      <c r="D109" s="16">
        <v>450</v>
      </c>
      <c r="E109" s="16">
        <v>485</v>
      </c>
      <c r="F109" s="16">
        <v>485</v>
      </c>
      <c r="G109" s="16">
        <v>540</v>
      </c>
    </row>
    <row r="110" spans="1:7" x14ac:dyDescent="0.25">
      <c r="A110" t="s">
        <v>197</v>
      </c>
      <c r="B110" t="s">
        <v>198</v>
      </c>
      <c r="C110" s="16">
        <v>380</v>
      </c>
      <c r="D110" s="16">
        <v>450</v>
      </c>
      <c r="E110" s="16">
        <v>485</v>
      </c>
      <c r="F110" s="16">
        <v>485</v>
      </c>
      <c r="G110" s="16">
        <v>540</v>
      </c>
    </row>
    <row r="111" spans="1:7" x14ac:dyDescent="0.25">
      <c r="A111" t="s">
        <v>199</v>
      </c>
      <c r="B111" t="s">
        <v>200</v>
      </c>
      <c r="C111" s="16">
        <v>2465</v>
      </c>
      <c r="D111" s="16">
        <v>2900</v>
      </c>
      <c r="E111" s="16">
        <v>3130</v>
      </c>
      <c r="F111" s="16">
        <v>3130</v>
      </c>
      <c r="G111" s="16">
        <v>3480</v>
      </c>
    </row>
    <row r="112" spans="1:7" x14ac:dyDescent="0.25">
      <c r="A112" t="s">
        <v>201</v>
      </c>
      <c r="B112" t="s">
        <v>202</v>
      </c>
      <c r="C112" s="16">
        <v>3485</v>
      </c>
      <c r="D112" s="16">
        <v>4100</v>
      </c>
      <c r="E112" s="16">
        <v>4430</v>
      </c>
      <c r="F112" s="16">
        <v>4430</v>
      </c>
      <c r="G112" s="16">
        <v>4920</v>
      </c>
    </row>
    <row r="113" spans="1:7" x14ac:dyDescent="0.25">
      <c r="A113" t="s">
        <v>203</v>
      </c>
      <c r="B113" t="s">
        <v>204</v>
      </c>
      <c r="C113" s="16">
        <v>12495</v>
      </c>
      <c r="D113" s="16">
        <v>14700</v>
      </c>
      <c r="E113" s="16">
        <v>15875</v>
      </c>
      <c r="F113" s="16">
        <v>15875</v>
      </c>
      <c r="G113" s="16">
        <v>17640</v>
      </c>
    </row>
    <row r="114" spans="1:7" x14ac:dyDescent="0.25">
      <c r="A114" t="s">
        <v>205</v>
      </c>
      <c r="B114" t="s">
        <v>206</v>
      </c>
      <c r="C114" s="16">
        <v>275</v>
      </c>
      <c r="D114" s="16">
        <v>325</v>
      </c>
      <c r="E114" s="16">
        <v>350</v>
      </c>
      <c r="F114" s="16">
        <v>350</v>
      </c>
      <c r="G114" s="16">
        <v>390</v>
      </c>
    </row>
    <row r="115" spans="1:7" x14ac:dyDescent="0.25">
      <c r="A115" t="s">
        <v>207</v>
      </c>
      <c r="C115" s="16">
        <v>110</v>
      </c>
      <c r="D115" s="16">
        <v>130</v>
      </c>
      <c r="E115" s="16">
        <v>140</v>
      </c>
      <c r="F115" s="16">
        <v>140</v>
      </c>
      <c r="G115" s="16">
        <v>155</v>
      </c>
    </row>
    <row r="116" spans="1:7" x14ac:dyDescent="0.25">
      <c r="A116" t="s">
        <v>208</v>
      </c>
      <c r="C116" s="16">
        <v>425</v>
      </c>
      <c r="D116" s="16">
        <v>500</v>
      </c>
      <c r="E116" s="16">
        <v>540</v>
      </c>
      <c r="F116" s="16">
        <v>540</v>
      </c>
      <c r="G116" s="16">
        <v>600</v>
      </c>
    </row>
    <row r="117" spans="1:7" x14ac:dyDescent="0.25">
      <c r="A117" t="s">
        <v>209</v>
      </c>
      <c r="C117" s="16">
        <v>595</v>
      </c>
      <c r="D117" s="16">
        <v>700</v>
      </c>
      <c r="E117" s="16">
        <v>755</v>
      </c>
      <c r="F117" s="16">
        <v>755</v>
      </c>
      <c r="G117" s="16">
        <v>840</v>
      </c>
    </row>
    <row r="118" spans="1:7" x14ac:dyDescent="0.25">
      <c r="A118" t="s">
        <v>210</v>
      </c>
      <c r="C118" s="16">
        <v>1955</v>
      </c>
      <c r="D118" s="16">
        <v>2300</v>
      </c>
      <c r="E118" s="16">
        <v>2485</v>
      </c>
      <c r="F118" s="16">
        <v>2485</v>
      </c>
      <c r="G118" s="16">
        <v>2760</v>
      </c>
    </row>
    <row r="119" spans="1:7" x14ac:dyDescent="0.25">
      <c r="A119" t="s">
        <v>211</v>
      </c>
      <c r="C119" s="16">
        <v>27200</v>
      </c>
      <c r="D119" s="16">
        <v>32000</v>
      </c>
      <c r="E119" s="16">
        <v>34560</v>
      </c>
      <c r="F119" s="16">
        <v>34560</v>
      </c>
      <c r="G119" s="16">
        <v>37200</v>
      </c>
    </row>
    <row r="120" spans="1:7" x14ac:dyDescent="0.25">
      <c r="A120" t="s">
        <v>212</v>
      </c>
      <c r="C120" s="16">
        <v>380</v>
      </c>
      <c r="D120" s="16">
        <v>450</v>
      </c>
      <c r="E120" s="16">
        <v>485</v>
      </c>
      <c r="F120" s="16">
        <v>485</v>
      </c>
      <c r="G120" s="16">
        <v>540</v>
      </c>
    </row>
    <row r="121" spans="1:7" x14ac:dyDescent="0.25">
      <c r="A121" t="s">
        <v>213</v>
      </c>
      <c r="C121" s="16">
        <v>255</v>
      </c>
      <c r="D121" s="16">
        <v>300</v>
      </c>
      <c r="E121" s="16">
        <v>325</v>
      </c>
      <c r="F121" s="16">
        <v>325</v>
      </c>
      <c r="G121" s="16">
        <v>360</v>
      </c>
    </row>
    <row r="122" spans="1:7" x14ac:dyDescent="0.25">
      <c r="A122" t="s">
        <v>214</v>
      </c>
      <c r="C122" s="16">
        <v>1145</v>
      </c>
      <c r="D122" s="16">
        <v>1350</v>
      </c>
      <c r="E122" s="16">
        <v>1460</v>
      </c>
      <c r="F122" s="16">
        <v>1460</v>
      </c>
      <c r="G122" s="16">
        <v>1620</v>
      </c>
    </row>
    <row r="123" spans="1:7" x14ac:dyDescent="0.25">
      <c r="A123" t="s">
        <v>215</v>
      </c>
      <c r="C123" s="16">
        <v>11050</v>
      </c>
      <c r="D123" s="16">
        <v>13000</v>
      </c>
      <c r="E123" s="16">
        <v>14040</v>
      </c>
      <c r="F123" s="16">
        <v>14040</v>
      </c>
      <c r="G123" s="16">
        <v>15600</v>
      </c>
    </row>
    <row r="124" spans="1:7" x14ac:dyDescent="0.25">
      <c r="A124" t="s">
        <v>216</v>
      </c>
      <c r="C124" s="16">
        <v>24650</v>
      </c>
      <c r="D124" s="16">
        <v>29000</v>
      </c>
      <c r="E124" s="16">
        <v>31320</v>
      </c>
      <c r="F124" s="16">
        <v>31320</v>
      </c>
      <c r="G124" s="16">
        <v>34800</v>
      </c>
    </row>
    <row r="125" spans="1:7" x14ac:dyDescent="0.25">
      <c r="A125" t="s">
        <v>217</v>
      </c>
      <c r="C125" s="16">
        <v>380</v>
      </c>
      <c r="D125" s="16">
        <v>450</v>
      </c>
      <c r="E125" s="16">
        <v>485</v>
      </c>
      <c r="F125" s="16">
        <v>485</v>
      </c>
      <c r="G125" s="16">
        <v>540</v>
      </c>
    </row>
    <row r="126" spans="1:7" x14ac:dyDescent="0.25">
      <c r="A126" t="s">
        <v>218</v>
      </c>
      <c r="C126" s="16">
        <v>850</v>
      </c>
      <c r="D126" s="16">
        <v>1000</v>
      </c>
      <c r="E126" s="16">
        <v>1080</v>
      </c>
      <c r="F126" s="16">
        <v>1080</v>
      </c>
      <c r="G126" s="16">
        <v>1200</v>
      </c>
    </row>
    <row r="127" spans="1:7" x14ac:dyDescent="0.25">
      <c r="A127" t="s">
        <v>219</v>
      </c>
      <c r="C127" s="16">
        <v>935</v>
      </c>
      <c r="D127" s="16">
        <v>1100</v>
      </c>
      <c r="E127" s="16">
        <v>1190</v>
      </c>
      <c r="F127" s="16">
        <v>1190</v>
      </c>
      <c r="G127" s="16">
        <v>1320</v>
      </c>
    </row>
    <row r="128" spans="1:7" x14ac:dyDescent="0.25">
      <c r="A128" t="s">
        <v>220</v>
      </c>
      <c r="C128" s="16">
        <v>2550</v>
      </c>
      <c r="D128" s="16">
        <v>3000</v>
      </c>
      <c r="E128" s="16">
        <v>3240</v>
      </c>
      <c r="F128" s="16">
        <v>3240</v>
      </c>
      <c r="G128" s="16">
        <v>3600</v>
      </c>
    </row>
    <row r="129" spans="1:7" x14ac:dyDescent="0.25">
      <c r="A129" t="s">
        <v>221</v>
      </c>
      <c r="C129" s="16">
        <v>21250</v>
      </c>
      <c r="D129" s="16">
        <v>25000</v>
      </c>
      <c r="E129" s="16">
        <v>27000</v>
      </c>
      <c r="F129" s="16">
        <v>27000</v>
      </c>
      <c r="G129" s="16">
        <v>30000</v>
      </c>
    </row>
    <row r="130" spans="1:7" x14ac:dyDescent="0.25">
      <c r="A130" t="s">
        <v>222</v>
      </c>
      <c r="B130" t="s">
        <v>223</v>
      </c>
      <c r="C130" s="16">
        <v>425</v>
      </c>
      <c r="D130" s="16">
        <v>500</v>
      </c>
      <c r="E130" s="16">
        <v>540</v>
      </c>
      <c r="F130" s="16">
        <v>540</v>
      </c>
      <c r="G130" s="16">
        <v>480</v>
      </c>
    </row>
    <row r="131" spans="1:7" x14ac:dyDescent="0.25">
      <c r="A131" t="s">
        <v>224</v>
      </c>
      <c r="C131" s="16">
        <v>235</v>
      </c>
      <c r="D131" s="16">
        <v>275</v>
      </c>
      <c r="E131" s="16">
        <v>295</v>
      </c>
      <c r="F131" s="16">
        <v>295</v>
      </c>
      <c r="G131" s="16">
        <v>330</v>
      </c>
    </row>
    <row r="132" spans="1:7" x14ac:dyDescent="0.25">
      <c r="A132" t="s">
        <v>225</v>
      </c>
      <c r="C132" s="16">
        <v>360</v>
      </c>
      <c r="D132" s="16">
        <v>425</v>
      </c>
      <c r="E132" s="16">
        <v>460</v>
      </c>
      <c r="F132" s="16">
        <v>460</v>
      </c>
      <c r="G132" s="16">
        <v>510</v>
      </c>
    </row>
    <row r="133" spans="1:7" x14ac:dyDescent="0.25">
      <c r="A133" t="s">
        <v>226</v>
      </c>
      <c r="C133" s="16">
        <v>2505</v>
      </c>
      <c r="D133" s="16">
        <v>2950</v>
      </c>
      <c r="E133" s="16">
        <v>3185</v>
      </c>
      <c r="F133" s="16">
        <v>3185</v>
      </c>
      <c r="G133" s="16">
        <v>3660</v>
      </c>
    </row>
    <row r="134" spans="1:7" x14ac:dyDescent="0.25">
      <c r="A134" t="s">
        <v>227</v>
      </c>
      <c r="C134" s="16">
        <v>5865</v>
      </c>
      <c r="D134" s="16">
        <v>6900</v>
      </c>
      <c r="E134" s="16">
        <v>7450</v>
      </c>
      <c r="F134" s="16">
        <v>7450</v>
      </c>
      <c r="G134" s="16">
        <v>8280</v>
      </c>
    </row>
    <row r="135" spans="1:7" x14ac:dyDescent="0.25">
      <c r="A135" t="s">
        <v>228</v>
      </c>
      <c r="C135" s="16">
        <v>20825</v>
      </c>
      <c r="D135" s="16">
        <v>24500</v>
      </c>
      <c r="E135" s="16">
        <v>26460</v>
      </c>
      <c r="F135" s="16">
        <v>26460</v>
      </c>
      <c r="G135" s="16">
        <v>29400</v>
      </c>
    </row>
    <row r="136" spans="1:7" x14ac:dyDescent="0.25">
      <c r="A136" t="s">
        <v>229</v>
      </c>
      <c r="C136" s="16">
        <v>465</v>
      </c>
      <c r="D136" s="16">
        <v>550</v>
      </c>
      <c r="E136" s="16">
        <v>595</v>
      </c>
      <c r="F136" s="16">
        <v>595</v>
      </c>
      <c r="G136" s="16">
        <v>660</v>
      </c>
    </row>
    <row r="137" spans="1:7" x14ac:dyDescent="0.25">
      <c r="A137" t="s">
        <v>230</v>
      </c>
      <c r="C137" s="16">
        <v>425</v>
      </c>
      <c r="D137" s="16">
        <v>500</v>
      </c>
      <c r="E137" s="16">
        <v>540</v>
      </c>
      <c r="F137" s="16">
        <v>540</v>
      </c>
      <c r="G137" s="16">
        <v>600</v>
      </c>
    </row>
    <row r="138" spans="1:7" x14ac:dyDescent="0.25">
      <c r="A138" t="s">
        <v>231</v>
      </c>
      <c r="C138" s="16">
        <v>765</v>
      </c>
      <c r="D138" s="16">
        <v>900</v>
      </c>
      <c r="E138" s="16">
        <v>970</v>
      </c>
      <c r="F138" s="16">
        <v>970</v>
      </c>
      <c r="G138" s="16">
        <v>1080</v>
      </c>
    </row>
    <row r="139" spans="1:7" x14ac:dyDescent="0.25">
      <c r="A139" t="s">
        <v>232</v>
      </c>
      <c r="C139" s="16">
        <v>4165</v>
      </c>
      <c r="D139" s="16">
        <v>4900</v>
      </c>
      <c r="E139" s="16">
        <v>5290</v>
      </c>
      <c r="F139" s="16">
        <v>5290</v>
      </c>
      <c r="G139" s="16">
        <v>5880</v>
      </c>
    </row>
    <row r="140" spans="1:7" x14ac:dyDescent="0.25">
      <c r="A140" t="s">
        <v>233</v>
      </c>
      <c r="C140" s="16">
        <v>22100</v>
      </c>
      <c r="D140" s="16">
        <v>26000</v>
      </c>
      <c r="E140" s="16">
        <v>28080</v>
      </c>
      <c r="F140" s="16">
        <v>28080</v>
      </c>
      <c r="G140" s="16">
        <v>31200</v>
      </c>
    </row>
    <row r="141" spans="1:7" x14ac:dyDescent="0.25">
      <c r="A141" t="s">
        <v>234</v>
      </c>
      <c r="C141" s="16">
        <v>170</v>
      </c>
      <c r="D141" s="16">
        <v>200</v>
      </c>
      <c r="E141" s="16">
        <v>215</v>
      </c>
      <c r="F141" s="16">
        <v>215</v>
      </c>
      <c r="G141" s="16">
        <v>240</v>
      </c>
    </row>
    <row r="142" spans="1:7" x14ac:dyDescent="0.25">
      <c r="A142" t="s">
        <v>235</v>
      </c>
      <c r="C142" s="16">
        <v>295</v>
      </c>
      <c r="D142" s="16">
        <v>350</v>
      </c>
      <c r="E142" s="16">
        <v>380</v>
      </c>
      <c r="F142" s="16">
        <v>380</v>
      </c>
      <c r="G142" s="16">
        <v>420</v>
      </c>
    </row>
    <row r="143" spans="1:7" x14ac:dyDescent="0.25">
      <c r="A143" t="s">
        <v>236</v>
      </c>
      <c r="C143" s="16">
        <v>1955</v>
      </c>
      <c r="D143" s="16">
        <v>2300</v>
      </c>
      <c r="E143" s="16">
        <v>2485</v>
      </c>
      <c r="F143" s="16">
        <v>2485</v>
      </c>
      <c r="G143" s="16">
        <v>2880</v>
      </c>
    </row>
    <row r="144" spans="1:7" x14ac:dyDescent="0.25">
      <c r="A144" t="s">
        <v>237</v>
      </c>
      <c r="C144" s="16">
        <v>4675</v>
      </c>
      <c r="D144" s="16">
        <v>5500</v>
      </c>
      <c r="E144" s="16">
        <v>5940</v>
      </c>
      <c r="F144" s="16">
        <v>5940</v>
      </c>
      <c r="G144" s="16">
        <v>6600</v>
      </c>
    </row>
    <row r="145" spans="1:7" x14ac:dyDescent="0.25">
      <c r="A145" t="s">
        <v>238</v>
      </c>
      <c r="C145" s="16">
        <v>19550</v>
      </c>
      <c r="D145" s="16">
        <v>23000</v>
      </c>
      <c r="E145" s="16">
        <v>24840</v>
      </c>
      <c r="F145" s="16">
        <v>24840</v>
      </c>
      <c r="G145" s="16">
        <v>27600</v>
      </c>
    </row>
    <row r="146" spans="1:7" x14ac:dyDescent="0.25">
      <c r="A146" t="s">
        <v>239</v>
      </c>
      <c r="B146" t="s">
        <v>240</v>
      </c>
      <c r="C146" s="16">
        <v>680</v>
      </c>
      <c r="D146" s="16">
        <v>800</v>
      </c>
      <c r="E146" s="16">
        <v>865</v>
      </c>
      <c r="F146" s="16">
        <v>865</v>
      </c>
      <c r="G146" s="16">
        <v>960</v>
      </c>
    </row>
    <row r="147" spans="1:7" x14ac:dyDescent="0.25">
      <c r="A147" t="s">
        <v>241</v>
      </c>
      <c r="C147" s="16">
        <v>550</v>
      </c>
      <c r="D147" s="16">
        <v>650</v>
      </c>
      <c r="E147" s="16">
        <v>700</v>
      </c>
      <c r="F147" s="16">
        <v>700</v>
      </c>
      <c r="G147" s="16">
        <v>780</v>
      </c>
    </row>
    <row r="148" spans="1:7" x14ac:dyDescent="0.25">
      <c r="A148" t="s">
        <v>242</v>
      </c>
      <c r="C148" s="16">
        <v>550</v>
      </c>
      <c r="D148" s="16">
        <v>650</v>
      </c>
      <c r="E148" s="16">
        <v>700</v>
      </c>
      <c r="F148" s="16">
        <v>700</v>
      </c>
      <c r="G148" s="16">
        <v>780</v>
      </c>
    </row>
    <row r="149" spans="1:7" x14ac:dyDescent="0.25">
      <c r="A149" t="s">
        <v>243</v>
      </c>
      <c r="C149" s="16">
        <v>850</v>
      </c>
      <c r="D149" s="16">
        <v>1000</v>
      </c>
      <c r="E149" s="16">
        <v>1080</v>
      </c>
      <c r="F149" s="16">
        <v>1080</v>
      </c>
      <c r="G149" s="16">
        <v>1200</v>
      </c>
    </row>
    <row r="150" spans="1:7" x14ac:dyDescent="0.25">
      <c r="A150" t="s">
        <v>244</v>
      </c>
      <c r="C150" s="16">
        <v>2550</v>
      </c>
      <c r="D150" s="16">
        <v>3000</v>
      </c>
      <c r="E150" s="16">
        <v>3240</v>
      </c>
      <c r="F150" s="16">
        <v>3240</v>
      </c>
      <c r="G150" s="16">
        <v>3600</v>
      </c>
    </row>
    <row r="151" spans="1:7" x14ac:dyDescent="0.25">
      <c r="A151" t="s">
        <v>245</v>
      </c>
      <c r="C151" s="16">
        <v>36125</v>
      </c>
      <c r="D151" s="16">
        <v>42500</v>
      </c>
      <c r="E151" s="16">
        <v>45900</v>
      </c>
      <c r="F151" s="16">
        <v>45900</v>
      </c>
      <c r="G151" s="16">
        <v>51000</v>
      </c>
    </row>
    <row r="152" spans="1:7" x14ac:dyDescent="0.25">
      <c r="A152" t="s">
        <v>246</v>
      </c>
      <c r="C152" s="16">
        <v>170</v>
      </c>
      <c r="D152" s="16">
        <v>200</v>
      </c>
      <c r="E152" s="16">
        <v>215</v>
      </c>
      <c r="F152" s="16">
        <v>215</v>
      </c>
      <c r="G152" s="16">
        <v>240</v>
      </c>
    </row>
    <row r="153" spans="1:7" x14ac:dyDescent="0.25">
      <c r="A153" t="s">
        <v>247</v>
      </c>
      <c r="C153" s="16">
        <v>295</v>
      </c>
      <c r="D153" s="16">
        <v>350</v>
      </c>
      <c r="E153" s="16">
        <v>380</v>
      </c>
      <c r="F153" s="16">
        <v>380</v>
      </c>
      <c r="G153" s="16">
        <v>420</v>
      </c>
    </row>
    <row r="154" spans="1:7" x14ac:dyDescent="0.25">
      <c r="A154" t="s">
        <v>248</v>
      </c>
      <c r="C154" s="16">
        <v>765</v>
      </c>
      <c r="D154" s="16">
        <v>900</v>
      </c>
      <c r="E154" s="16">
        <v>970</v>
      </c>
      <c r="F154" s="16">
        <v>970</v>
      </c>
      <c r="G154" s="16">
        <v>1080</v>
      </c>
    </row>
    <row r="155" spans="1:7" x14ac:dyDescent="0.25">
      <c r="A155" t="s">
        <v>249</v>
      </c>
      <c r="C155" s="16">
        <v>15300</v>
      </c>
      <c r="D155" s="16">
        <v>18000</v>
      </c>
      <c r="E155" s="16">
        <v>19440</v>
      </c>
      <c r="F155" s="16">
        <v>19440</v>
      </c>
      <c r="G155" s="16">
        <v>21600</v>
      </c>
    </row>
    <row r="156" spans="1:7" x14ac:dyDescent="0.25">
      <c r="A156" t="s">
        <v>250</v>
      </c>
      <c r="C156" s="16">
        <v>25500</v>
      </c>
      <c r="D156" s="16">
        <v>30000</v>
      </c>
      <c r="E156" s="16">
        <v>32400</v>
      </c>
      <c r="F156" s="16">
        <v>32400</v>
      </c>
      <c r="G156" s="16">
        <v>36000</v>
      </c>
    </row>
    <row r="157" spans="1:7" x14ac:dyDescent="0.25">
      <c r="A157" t="s">
        <v>251</v>
      </c>
      <c r="C157" s="16">
        <v>425</v>
      </c>
      <c r="D157" s="16">
        <v>500</v>
      </c>
      <c r="E157" s="16">
        <v>540</v>
      </c>
      <c r="F157" s="16">
        <v>540</v>
      </c>
      <c r="G157" s="16">
        <v>600</v>
      </c>
    </row>
    <row r="158" spans="1:7" x14ac:dyDescent="0.25">
      <c r="A158" t="s">
        <v>252</v>
      </c>
      <c r="C158" s="16">
        <v>465</v>
      </c>
      <c r="D158" s="16">
        <v>550</v>
      </c>
      <c r="E158" s="16">
        <v>595</v>
      </c>
      <c r="F158" s="16">
        <v>595</v>
      </c>
      <c r="G158" s="16">
        <v>660</v>
      </c>
    </row>
    <row r="159" spans="1:7" x14ac:dyDescent="0.25">
      <c r="A159" t="s">
        <v>253</v>
      </c>
      <c r="C159" s="16">
        <v>2165</v>
      </c>
      <c r="D159" s="16">
        <v>2550</v>
      </c>
      <c r="E159" s="16">
        <v>2755</v>
      </c>
      <c r="F159" s="16">
        <v>2755</v>
      </c>
      <c r="G159" s="16">
        <v>3060</v>
      </c>
    </row>
    <row r="160" spans="1:7" x14ac:dyDescent="0.25">
      <c r="A160" t="s">
        <v>254</v>
      </c>
      <c r="C160" s="16">
        <v>19890</v>
      </c>
      <c r="D160" s="16">
        <v>23400</v>
      </c>
      <c r="E160" s="16">
        <v>25270</v>
      </c>
      <c r="F160" s="16">
        <v>25270</v>
      </c>
      <c r="G160" s="16">
        <v>28080</v>
      </c>
    </row>
    <row r="161" spans="1:7" x14ac:dyDescent="0.25">
      <c r="A161" t="s">
        <v>255</v>
      </c>
      <c r="C161" s="16">
        <v>72250</v>
      </c>
      <c r="D161" s="16">
        <v>85000</v>
      </c>
      <c r="E161" s="16">
        <v>91800</v>
      </c>
      <c r="F161" s="16">
        <v>91800</v>
      </c>
      <c r="G161" s="16">
        <v>102000</v>
      </c>
    </row>
    <row r="162" spans="1:7" x14ac:dyDescent="0.25">
      <c r="A162" t="s">
        <v>256</v>
      </c>
      <c r="B162" t="s">
        <v>257</v>
      </c>
      <c r="C162" s="16">
        <v>1360</v>
      </c>
      <c r="D162" s="16">
        <v>1600</v>
      </c>
      <c r="E162" s="16">
        <v>1730</v>
      </c>
      <c r="F162" s="16">
        <v>1730</v>
      </c>
      <c r="G162" s="16">
        <v>1920</v>
      </c>
    </row>
    <row r="163" spans="1:7" x14ac:dyDescent="0.25">
      <c r="A163" t="s">
        <v>258</v>
      </c>
      <c r="C163" s="16">
        <v>680</v>
      </c>
      <c r="D163" s="16">
        <v>800</v>
      </c>
      <c r="E163" s="16">
        <v>865</v>
      </c>
      <c r="F163" s="16">
        <v>865</v>
      </c>
      <c r="G163" s="16">
        <v>960</v>
      </c>
    </row>
    <row r="164" spans="1:7" x14ac:dyDescent="0.25">
      <c r="A164" t="s">
        <v>259</v>
      </c>
      <c r="C164" s="16">
        <v>425</v>
      </c>
      <c r="D164" s="16">
        <v>500</v>
      </c>
      <c r="E164" s="16">
        <v>540</v>
      </c>
      <c r="F164" s="16">
        <v>540</v>
      </c>
      <c r="G164" s="16">
        <v>600</v>
      </c>
    </row>
    <row r="165" spans="1:7" x14ac:dyDescent="0.25">
      <c r="A165" t="s">
        <v>260</v>
      </c>
      <c r="C165" s="16">
        <v>1485</v>
      </c>
      <c r="D165" s="16">
        <v>1750</v>
      </c>
      <c r="E165" s="16">
        <v>1890</v>
      </c>
      <c r="F165" s="16">
        <v>1890</v>
      </c>
      <c r="G165" s="16">
        <v>2100</v>
      </c>
    </row>
    <row r="166" spans="1:7" x14ac:dyDescent="0.25">
      <c r="A166" t="s">
        <v>261</v>
      </c>
      <c r="C166" s="16">
        <v>16660</v>
      </c>
      <c r="D166" s="16">
        <v>19600</v>
      </c>
      <c r="E166" s="16">
        <v>21170</v>
      </c>
      <c r="F166" s="16">
        <v>21170</v>
      </c>
      <c r="G166" s="16">
        <v>23520</v>
      </c>
    </row>
    <row r="167" spans="1:7" x14ac:dyDescent="0.25">
      <c r="A167" t="s">
        <v>262</v>
      </c>
      <c r="C167" s="16">
        <v>38250</v>
      </c>
      <c r="D167" s="16">
        <v>45000</v>
      </c>
      <c r="E167" s="16">
        <v>48600</v>
      </c>
      <c r="F167" s="16">
        <v>48600</v>
      </c>
      <c r="G167" s="16">
        <v>54000</v>
      </c>
    </row>
    <row r="168" spans="1:7" x14ac:dyDescent="0.25">
      <c r="A168" t="s">
        <v>263</v>
      </c>
      <c r="C168" s="16">
        <v>255</v>
      </c>
      <c r="D168" s="16">
        <v>300</v>
      </c>
      <c r="E168" s="16">
        <v>325</v>
      </c>
      <c r="F168" s="16">
        <v>325</v>
      </c>
      <c r="G168" s="16">
        <v>360</v>
      </c>
    </row>
    <row r="169" spans="1:7" x14ac:dyDescent="0.25">
      <c r="A169" t="s">
        <v>264</v>
      </c>
      <c r="C169" s="16">
        <v>510</v>
      </c>
      <c r="D169" s="16">
        <v>600</v>
      </c>
      <c r="E169" s="16">
        <v>650</v>
      </c>
      <c r="F169" s="16">
        <v>650</v>
      </c>
      <c r="G169" s="16">
        <v>720</v>
      </c>
    </row>
    <row r="170" spans="1:7" x14ac:dyDescent="0.25">
      <c r="A170" t="s">
        <v>265</v>
      </c>
      <c r="C170" s="16">
        <v>2975</v>
      </c>
      <c r="D170" s="16">
        <v>3500</v>
      </c>
      <c r="E170" s="16">
        <v>3780</v>
      </c>
      <c r="F170" s="16">
        <v>3780</v>
      </c>
      <c r="G170" s="16">
        <v>4200</v>
      </c>
    </row>
    <row r="171" spans="1:7" x14ac:dyDescent="0.25">
      <c r="A171" t="s">
        <v>266</v>
      </c>
      <c r="C171" s="16">
        <v>8075</v>
      </c>
      <c r="D171" s="16">
        <v>9500</v>
      </c>
      <c r="E171" s="16">
        <v>10260</v>
      </c>
      <c r="F171" s="16">
        <v>10260</v>
      </c>
      <c r="G171" s="16">
        <v>11400</v>
      </c>
    </row>
    <row r="172" spans="1:7" x14ac:dyDescent="0.25">
      <c r="A172" t="s">
        <v>267</v>
      </c>
      <c r="C172" s="16">
        <v>25500</v>
      </c>
      <c r="D172" s="16">
        <v>30000</v>
      </c>
      <c r="E172" s="16">
        <v>32400</v>
      </c>
      <c r="F172" s="16">
        <v>32400</v>
      </c>
      <c r="G172" s="16">
        <v>36000</v>
      </c>
    </row>
    <row r="173" spans="1:7" x14ac:dyDescent="0.25">
      <c r="A173" t="s">
        <v>268</v>
      </c>
      <c r="C173" s="16">
        <v>210</v>
      </c>
      <c r="D173" s="16">
        <v>250</v>
      </c>
      <c r="E173" s="16">
        <v>270</v>
      </c>
      <c r="F173" s="16">
        <v>270</v>
      </c>
      <c r="G173" s="16">
        <v>300</v>
      </c>
    </row>
    <row r="174" spans="1:7" x14ac:dyDescent="0.25">
      <c r="A174" t="s">
        <v>269</v>
      </c>
      <c r="C174" s="16">
        <v>295</v>
      </c>
      <c r="D174" s="16">
        <v>350</v>
      </c>
      <c r="E174" s="16">
        <v>380</v>
      </c>
      <c r="F174" s="16">
        <v>380</v>
      </c>
      <c r="G174" s="16">
        <v>420</v>
      </c>
    </row>
    <row r="175" spans="1:7" x14ac:dyDescent="0.25">
      <c r="A175" t="s">
        <v>270</v>
      </c>
      <c r="C175" s="16">
        <v>2550</v>
      </c>
      <c r="D175" s="16">
        <v>3000</v>
      </c>
      <c r="E175" s="16">
        <v>3240</v>
      </c>
      <c r="F175" s="16">
        <v>3240</v>
      </c>
      <c r="G175" s="16">
        <v>3600</v>
      </c>
    </row>
    <row r="176" spans="1:7" x14ac:dyDescent="0.25">
      <c r="A176" t="s">
        <v>271</v>
      </c>
      <c r="C176" s="16">
        <v>7225</v>
      </c>
      <c r="D176" s="16">
        <v>8500</v>
      </c>
      <c r="E176" s="16">
        <v>9180</v>
      </c>
      <c r="F176" s="16">
        <v>9180</v>
      </c>
      <c r="G176" s="16">
        <v>10200</v>
      </c>
    </row>
    <row r="177" spans="1:7" x14ac:dyDescent="0.25">
      <c r="A177" t="s">
        <v>272</v>
      </c>
      <c r="C177" s="16">
        <v>29750</v>
      </c>
      <c r="D177" s="16">
        <v>35000</v>
      </c>
      <c r="E177" s="16">
        <v>37800</v>
      </c>
      <c r="F177" s="16">
        <v>37800</v>
      </c>
      <c r="G177" s="16">
        <v>42000</v>
      </c>
    </row>
    <row r="178" spans="1:7" x14ac:dyDescent="0.25">
      <c r="A178" t="s">
        <v>273</v>
      </c>
      <c r="B178" t="s">
        <v>274</v>
      </c>
      <c r="C178" s="16">
        <v>640</v>
      </c>
      <c r="D178" s="16">
        <v>750</v>
      </c>
      <c r="E178" s="16">
        <v>810</v>
      </c>
      <c r="F178" s="16">
        <v>810</v>
      </c>
      <c r="G178" s="16">
        <v>900</v>
      </c>
    </row>
    <row r="179" spans="1:7" x14ac:dyDescent="0.25">
      <c r="A179" t="s">
        <v>275</v>
      </c>
      <c r="C179" s="16">
        <v>425</v>
      </c>
      <c r="D179" s="16">
        <v>500</v>
      </c>
      <c r="E179" s="16">
        <v>540</v>
      </c>
      <c r="F179" s="16">
        <v>540</v>
      </c>
      <c r="G179" s="16">
        <v>600</v>
      </c>
    </row>
    <row r="180" spans="1:7" x14ac:dyDescent="0.25">
      <c r="A180" t="s">
        <v>276</v>
      </c>
      <c r="C180" s="16">
        <v>425</v>
      </c>
      <c r="D180" s="16">
        <v>500</v>
      </c>
      <c r="E180" s="16">
        <v>540</v>
      </c>
      <c r="F180" s="16">
        <v>540</v>
      </c>
      <c r="G180" s="16">
        <v>600</v>
      </c>
    </row>
    <row r="181" spans="1:7" x14ac:dyDescent="0.25">
      <c r="A181" t="s">
        <v>277</v>
      </c>
      <c r="C181" s="16">
        <v>765</v>
      </c>
      <c r="D181" s="16">
        <v>900</v>
      </c>
      <c r="E181" s="16">
        <v>970</v>
      </c>
      <c r="F181" s="16">
        <v>970</v>
      </c>
      <c r="G181" s="16">
        <v>1080</v>
      </c>
    </row>
    <row r="182" spans="1:7" x14ac:dyDescent="0.25">
      <c r="A182" t="s">
        <v>278</v>
      </c>
      <c r="C182" s="16">
        <v>5525</v>
      </c>
      <c r="D182" s="16">
        <v>6500</v>
      </c>
      <c r="E182" s="16">
        <v>7020</v>
      </c>
      <c r="F182" s="16">
        <v>7020</v>
      </c>
      <c r="G182" s="16">
        <v>7800</v>
      </c>
    </row>
    <row r="183" spans="1:7" x14ac:dyDescent="0.25">
      <c r="A183" t="s">
        <v>279</v>
      </c>
      <c r="C183" s="16">
        <v>30600</v>
      </c>
      <c r="D183" s="16">
        <v>36000</v>
      </c>
      <c r="E183" s="16">
        <v>38880</v>
      </c>
      <c r="F183" s="16">
        <v>38880</v>
      </c>
      <c r="G183" s="16">
        <v>43200</v>
      </c>
    </row>
    <row r="184" spans="1:7" x14ac:dyDescent="0.25">
      <c r="A184" t="s">
        <v>280</v>
      </c>
      <c r="C184" s="16">
        <v>255</v>
      </c>
      <c r="D184" s="16">
        <v>300</v>
      </c>
      <c r="E184" s="16">
        <v>325</v>
      </c>
      <c r="F184" s="16">
        <v>325</v>
      </c>
      <c r="G184" s="16">
        <v>360</v>
      </c>
    </row>
    <row r="185" spans="1:7" x14ac:dyDescent="0.25">
      <c r="A185" t="s">
        <v>281</v>
      </c>
      <c r="C185" s="16">
        <v>425</v>
      </c>
      <c r="D185" s="16">
        <v>500</v>
      </c>
      <c r="E185" s="16">
        <v>540</v>
      </c>
      <c r="F185" s="16">
        <v>540</v>
      </c>
      <c r="G185" s="16">
        <v>600</v>
      </c>
    </row>
    <row r="186" spans="1:7" x14ac:dyDescent="0.25">
      <c r="A186" t="s">
        <v>282</v>
      </c>
      <c r="C186" s="16">
        <v>765</v>
      </c>
      <c r="D186" s="16">
        <v>900</v>
      </c>
      <c r="E186" s="16">
        <v>970</v>
      </c>
      <c r="F186" s="16">
        <v>970</v>
      </c>
      <c r="G186" s="16">
        <v>1080</v>
      </c>
    </row>
    <row r="187" spans="1:7" x14ac:dyDescent="0.25">
      <c r="A187" t="s">
        <v>283</v>
      </c>
      <c r="C187" s="16">
        <v>4675</v>
      </c>
      <c r="D187" s="16">
        <v>5500</v>
      </c>
      <c r="E187" s="16">
        <v>5940</v>
      </c>
      <c r="F187" s="16">
        <v>5940</v>
      </c>
      <c r="G187" s="16">
        <v>7080</v>
      </c>
    </row>
    <row r="188" spans="1:7" x14ac:dyDescent="0.25">
      <c r="A188" t="s">
        <v>284</v>
      </c>
      <c r="C188" s="16">
        <v>27200</v>
      </c>
      <c r="D188" s="16">
        <v>32000</v>
      </c>
      <c r="E188" s="16">
        <v>34560</v>
      </c>
      <c r="F188" s="16">
        <v>34560</v>
      </c>
      <c r="G188" s="16">
        <v>38400</v>
      </c>
    </row>
    <row r="189" spans="1:7" x14ac:dyDescent="0.25">
      <c r="A189" t="s">
        <v>285</v>
      </c>
      <c r="C189" s="16">
        <v>170</v>
      </c>
      <c r="D189" s="16">
        <v>200</v>
      </c>
      <c r="E189" s="16">
        <v>215</v>
      </c>
      <c r="F189" s="16">
        <v>215</v>
      </c>
      <c r="G189" s="16">
        <v>240</v>
      </c>
    </row>
    <row r="190" spans="1:7" x14ac:dyDescent="0.25">
      <c r="A190" t="s">
        <v>286</v>
      </c>
      <c r="C190" s="16">
        <v>425</v>
      </c>
      <c r="D190" s="16">
        <v>500</v>
      </c>
      <c r="E190" s="16">
        <v>540</v>
      </c>
      <c r="F190" s="16">
        <v>540</v>
      </c>
      <c r="G190" s="16">
        <v>600</v>
      </c>
    </row>
    <row r="191" spans="1:7" x14ac:dyDescent="0.25">
      <c r="A191" t="s">
        <v>287</v>
      </c>
      <c r="C191" s="16">
        <v>765</v>
      </c>
      <c r="D191" s="16">
        <v>900</v>
      </c>
      <c r="E191" s="16">
        <v>970</v>
      </c>
      <c r="F191" s="16">
        <v>970</v>
      </c>
      <c r="G191" s="16">
        <v>1080</v>
      </c>
    </row>
    <row r="192" spans="1:7" x14ac:dyDescent="0.25">
      <c r="A192" t="s">
        <v>288</v>
      </c>
      <c r="C192" s="16">
        <v>8925</v>
      </c>
      <c r="D192" s="16">
        <v>10500</v>
      </c>
      <c r="E192" s="16">
        <v>11340</v>
      </c>
      <c r="F192" s="16">
        <v>11340</v>
      </c>
      <c r="G192" s="16">
        <v>12600</v>
      </c>
    </row>
    <row r="193" spans="1:7" x14ac:dyDescent="0.25">
      <c r="A193" t="s">
        <v>289</v>
      </c>
      <c r="C193" s="16">
        <v>34000</v>
      </c>
      <c r="D193" s="16">
        <v>40000</v>
      </c>
      <c r="E193" s="16">
        <v>43200</v>
      </c>
      <c r="F193" s="16">
        <v>43200</v>
      </c>
      <c r="G193" s="16">
        <v>48000</v>
      </c>
    </row>
    <row r="194" spans="1:7" x14ac:dyDescent="0.25">
      <c r="A194" t="s">
        <v>290</v>
      </c>
      <c r="B194" t="s">
        <v>291</v>
      </c>
      <c r="C194" s="16">
        <v>720</v>
      </c>
      <c r="D194" s="16">
        <v>850</v>
      </c>
      <c r="E194" s="16">
        <v>920</v>
      </c>
      <c r="F194" s="16">
        <v>920</v>
      </c>
      <c r="G194" s="16">
        <v>1020</v>
      </c>
    </row>
    <row r="195" spans="1:7" x14ac:dyDescent="0.25">
      <c r="A195" t="s">
        <v>292</v>
      </c>
      <c r="C195" s="16">
        <v>255</v>
      </c>
      <c r="D195" s="16">
        <v>300</v>
      </c>
      <c r="E195" s="16">
        <v>325</v>
      </c>
      <c r="F195" s="16">
        <v>325</v>
      </c>
      <c r="G195" s="16">
        <v>360</v>
      </c>
    </row>
    <row r="196" spans="1:7" x14ac:dyDescent="0.25">
      <c r="A196" t="s">
        <v>293</v>
      </c>
      <c r="C196" s="16">
        <v>765</v>
      </c>
      <c r="D196" s="16">
        <v>900</v>
      </c>
      <c r="E196" s="16">
        <v>970</v>
      </c>
      <c r="F196" s="16">
        <v>970</v>
      </c>
      <c r="G196" s="16">
        <v>1080</v>
      </c>
    </row>
    <row r="197" spans="1:7" x14ac:dyDescent="0.25">
      <c r="A197" t="s">
        <v>294</v>
      </c>
      <c r="C197" s="16">
        <v>3100</v>
      </c>
      <c r="D197" s="16">
        <v>3650</v>
      </c>
      <c r="E197" s="16">
        <v>3940</v>
      </c>
      <c r="F197" s="16">
        <v>3940</v>
      </c>
      <c r="G197" s="16">
        <v>4380</v>
      </c>
    </row>
    <row r="198" spans="1:7" x14ac:dyDescent="0.25">
      <c r="A198" t="s">
        <v>295</v>
      </c>
      <c r="C198" s="16">
        <v>9435</v>
      </c>
      <c r="D198" s="16">
        <v>11100</v>
      </c>
      <c r="E198" s="16">
        <v>11990</v>
      </c>
      <c r="F198" s="16">
        <v>11990</v>
      </c>
      <c r="G198" s="16">
        <v>13320</v>
      </c>
    </row>
    <row r="199" spans="1:7" x14ac:dyDescent="0.25">
      <c r="A199" t="s">
        <v>296</v>
      </c>
      <c r="C199" s="16">
        <v>68000</v>
      </c>
      <c r="D199" s="16">
        <v>80000</v>
      </c>
      <c r="E199" s="16">
        <v>86400</v>
      </c>
      <c r="F199" s="16">
        <v>86400</v>
      </c>
      <c r="G199" s="16">
        <v>96000</v>
      </c>
    </row>
    <row r="200" spans="1:7" x14ac:dyDescent="0.25">
      <c r="A200" t="s">
        <v>297</v>
      </c>
      <c r="C200" s="16">
        <v>210</v>
      </c>
      <c r="D200" s="16">
        <v>250</v>
      </c>
      <c r="E200" s="16">
        <v>270</v>
      </c>
      <c r="F200" s="16">
        <v>270</v>
      </c>
      <c r="G200" s="16">
        <v>300</v>
      </c>
    </row>
    <row r="201" spans="1:7" x14ac:dyDescent="0.25">
      <c r="A201" t="s">
        <v>298</v>
      </c>
      <c r="C201" s="16">
        <v>805</v>
      </c>
      <c r="D201" s="16">
        <v>950</v>
      </c>
      <c r="E201" s="16">
        <v>1025</v>
      </c>
      <c r="F201" s="16">
        <v>1025</v>
      </c>
      <c r="G201" s="16">
        <v>1140</v>
      </c>
    </row>
    <row r="202" spans="1:7" x14ac:dyDescent="0.25">
      <c r="A202" t="s">
        <v>299</v>
      </c>
      <c r="C202" s="16">
        <v>4080</v>
      </c>
      <c r="D202" s="16">
        <v>4800</v>
      </c>
      <c r="E202" s="16">
        <v>5185</v>
      </c>
      <c r="F202" s="16">
        <v>5185</v>
      </c>
      <c r="G202" s="16">
        <v>5760</v>
      </c>
    </row>
    <row r="203" spans="1:7" x14ac:dyDescent="0.25">
      <c r="A203" t="s">
        <v>300</v>
      </c>
      <c r="C203" s="16">
        <v>4715</v>
      </c>
      <c r="D203" s="16">
        <v>5550</v>
      </c>
      <c r="E203" s="16">
        <v>5995</v>
      </c>
      <c r="F203" s="16">
        <v>5995</v>
      </c>
      <c r="G203" s="16">
        <v>6660</v>
      </c>
    </row>
    <row r="204" spans="1:7" x14ac:dyDescent="0.25">
      <c r="A204" t="s">
        <v>301</v>
      </c>
      <c r="C204" s="16">
        <v>51000</v>
      </c>
      <c r="D204" s="16">
        <v>60000</v>
      </c>
      <c r="E204" s="16">
        <v>64800</v>
      </c>
      <c r="F204" s="16">
        <v>64800</v>
      </c>
      <c r="G204" s="16">
        <v>72000</v>
      </c>
    </row>
    <row r="205" spans="1:7" x14ac:dyDescent="0.25">
      <c r="A205" t="s">
        <v>302</v>
      </c>
      <c r="C205" s="16">
        <v>125</v>
      </c>
      <c r="D205" s="16">
        <v>150</v>
      </c>
      <c r="E205" s="16">
        <v>160</v>
      </c>
      <c r="F205" s="16">
        <v>160</v>
      </c>
      <c r="G205" s="16">
        <v>180</v>
      </c>
    </row>
    <row r="206" spans="1:7" x14ac:dyDescent="0.25">
      <c r="A206" t="s">
        <v>303</v>
      </c>
      <c r="C206" s="16">
        <v>1020</v>
      </c>
      <c r="D206" s="16">
        <v>1200</v>
      </c>
      <c r="E206" s="18">
        <v>1295</v>
      </c>
      <c r="F206" s="18">
        <v>1295</v>
      </c>
      <c r="G206" s="16">
        <v>1440</v>
      </c>
    </row>
    <row r="207" spans="1:7" x14ac:dyDescent="0.25">
      <c r="A207" t="s">
        <v>304</v>
      </c>
      <c r="C207" s="16">
        <v>2890</v>
      </c>
      <c r="D207" s="16">
        <v>3400</v>
      </c>
      <c r="E207" s="16">
        <v>3670</v>
      </c>
      <c r="F207" s="16">
        <v>3670</v>
      </c>
      <c r="G207" s="16">
        <v>4080</v>
      </c>
    </row>
    <row r="208" spans="1:7" x14ac:dyDescent="0.25">
      <c r="A208" t="s">
        <v>305</v>
      </c>
      <c r="C208" s="16">
        <v>10200</v>
      </c>
      <c r="D208" s="16">
        <v>12000</v>
      </c>
      <c r="E208" s="16">
        <v>12960</v>
      </c>
      <c r="F208" s="16">
        <v>12960</v>
      </c>
      <c r="G208" s="16">
        <v>14400</v>
      </c>
    </row>
    <row r="209" spans="1:7" x14ac:dyDescent="0.25">
      <c r="A209" t="s">
        <v>306</v>
      </c>
      <c r="C209" s="16">
        <v>49300</v>
      </c>
      <c r="D209" s="16">
        <v>58000</v>
      </c>
      <c r="E209" s="16">
        <v>62640</v>
      </c>
      <c r="F209" s="16">
        <v>62640</v>
      </c>
      <c r="G209" s="16">
        <v>69600</v>
      </c>
    </row>
    <row r="210" spans="1:7" x14ac:dyDescent="0.25">
      <c r="A210" t="s">
        <v>307</v>
      </c>
      <c r="B210" t="s">
        <v>308</v>
      </c>
      <c r="C210" s="16">
        <v>320</v>
      </c>
      <c r="D210" s="16">
        <v>375</v>
      </c>
      <c r="E210" s="16">
        <v>405</v>
      </c>
      <c r="F210" s="16">
        <v>405</v>
      </c>
      <c r="G210" s="16">
        <v>390</v>
      </c>
    </row>
    <row r="211" spans="1:7" x14ac:dyDescent="0.25">
      <c r="A211" t="s">
        <v>309</v>
      </c>
      <c r="C211" s="16">
        <v>100</v>
      </c>
      <c r="D211" s="16">
        <v>125</v>
      </c>
      <c r="E211" s="16">
        <v>160</v>
      </c>
      <c r="F211" s="16">
        <v>160</v>
      </c>
      <c r="G211" s="16">
        <v>180</v>
      </c>
    </row>
    <row r="212" spans="1:7" x14ac:dyDescent="0.25">
      <c r="A212" t="s">
        <v>310</v>
      </c>
      <c r="C212" s="16">
        <v>380</v>
      </c>
      <c r="D212" s="16">
        <v>450</v>
      </c>
      <c r="E212" s="16">
        <v>485</v>
      </c>
      <c r="F212" s="16">
        <v>485</v>
      </c>
      <c r="G212" s="16">
        <v>540</v>
      </c>
    </row>
    <row r="213" spans="1:7" x14ac:dyDescent="0.25">
      <c r="A213" t="s">
        <v>311</v>
      </c>
      <c r="C213" s="16">
        <v>1105</v>
      </c>
      <c r="D213" s="16">
        <v>1300</v>
      </c>
      <c r="E213" s="16">
        <v>1405</v>
      </c>
      <c r="F213" s="16">
        <v>1405</v>
      </c>
      <c r="G213" s="16">
        <v>1680</v>
      </c>
    </row>
    <row r="214" spans="1:7" x14ac:dyDescent="0.25">
      <c r="A214" t="s">
        <v>312</v>
      </c>
      <c r="C214" s="16">
        <v>8500</v>
      </c>
      <c r="D214" s="16">
        <v>10000</v>
      </c>
      <c r="E214" s="16">
        <v>10800</v>
      </c>
      <c r="F214" s="16">
        <v>10800</v>
      </c>
      <c r="G214" s="16">
        <v>12000</v>
      </c>
    </row>
    <row r="215" spans="1:7" x14ac:dyDescent="0.25">
      <c r="A215" t="s">
        <v>313</v>
      </c>
      <c r="C215" s="16">
        <v>27200</v>
      </c>
      <c r="D215" s="16">
        <v>32000</v>
      </c>
      <c r="E215" s="16">
        <v>34560</v>
      </c>
      <c r="F215" s="16">
        <v>34560</v>
      </c>
      <c r="G215" s="16">
        <v>38400</v>
      </c>
    </row>
    <row r="216" spans="1:7" x14ac:dyDescent="0.25">
      <c r="A216" t="s">
        <v>314</v>
      </c>
      <c r="C216" s="16">
        <v>255</v>
      </c>
      <c r="D216" s="16">
        <v>300</v>
      </c>
      <c r="E216" s="16">
        <v>325</v>
      </c>
      <c r="F216" s="16">
        <v>325</v>
      </c>
      <c r="G216" s="16">
        <v>360</v>
      </c>
    </row>
    <row r="217" spans="1:7" x14ac:dyDescent="0.25">
      <c r="A217" t="s">
        <v>315</v>
      </c>
      <c r="C217" s="16">
        <v>680</v>
      </c>
      <c r="D217" s="16">
        <v>800</v>
      </c>
      <c r="E217" s="16">
        <v>865</v>
      </c>
      <c r="F217" s="16">
        <v>865</v>
      </c>
      <c r="G217" s="16">
        <v>960</v>
      </c>
    </row>
    <row r="218" spans="1:7" x14ac:dyDescent="0.25">
      <c r="A218" t="s">
        <v>316</v>
      </c>
      <c r="C218" s="16">
        <v>2805</v>
      </c>
      <c r="D218" s="16">
        <v>3300</v>
      </c>
      <c r="E218" s="16">
        <v>3565</v>
      </c>
      <c r="F218" s="16">
        <v>3565</v>
      </c>
      <c r="G218" s="16">
        <v>3960</v>
      </c>
    </row>
    <row r="219" spans="1:7" x14ac:dyDescent="0.25">
      <c r="A219" t="s">
        <v>317</v>
      </c>
      <c r="C219" s="16">
        <v>5950</v>
      </c>
      <c r="D219" s="16">
        <v>7000</v>
      </c>
      <c r="E219" s="16">
        <v>7560</v>
      </c>
      <c r="F219" s="16">
        <v>7560</v>
      </c>
      <c r="G219" s="16">
        <v>8400</v>
      </c>
    </row>
    <row r="220" spans="1:7" x14ac:dyDescent="0.25">
      <c r="A220" t="s">
        <v>318</v>
      </c>
      <c r="C220" s="16">
        <v>42500</v>
      </c>
      <c r="D220" s="16">
        <v>50000</v>
      </c>
      <c r="E220" s="16">
        <v>54000</v>
      </c>
      <c r="F220" s="16">
        <v>54000</v>
      </c>
      <c r="G220" s="16">
        <v>60000</v>
      </c>
    </row>
    <row r="221" spans="1:7" x14ac:dyDescent="0.25">
      <c r="A221" t="s">
        <v>319</v>
      </c>
      <c r="C221" s="16">
        <v>230</v>
      </c>
      <c r="D221" s="16">
        <v>275</v>
      </c>
      <c r="E221" s="16">
        <v>325</v>
      </c>
      <c r="F221" s="16">
        <v>325</v>
      </c>
      <c r="G221" s="16">
        <v>360</v>
      </c>
    </row>
    <row r="222" spans="1:7" x14ac:dyDescent="0.25">
      <c r="A222" t="s">
        <v>650</v>
      </c>
      <c r="C222" s="16">
        <v>255</v>
      </c>
      <c r="D222" s="16">
        <v>300</v>
      </c>
      <c r="E222" s="16">
        <v>325</v>
      </c>
      <c r="F222" s="16">
        <v>325</v>
      </c>
      <c r="G222" s="16">
        <v>360</v>
      </c>
    </row>
    <row r="223" spans="1:7" x14ac:dyDescent="0.25">
      <c r="A223" t="s">
        <v>651</v>
      </c>
      <c r="C223" s="16">
        <v>1275</v>
      </c>
      <c r="D223" s="16">
        <v>1500</v>
      </c>
      <c r="E223" s="16">
        <v>1620</v>
      </c>
      <c r="F223" s="16">
        <v>1620</v>
      </c>
      <c r="G223" s="16">
        <v>1800</v>
      </c>
    </row>
    <row r="224" spans="1:7" x14ac:dyDescent="0.25">
      <c r="A224" t="s">
        <v>652</v>
      </c>
      <c r="C224" s="16">
        <v>2380</v>
      </c>
      <c r="D224" s="16">
        <v>2800</v>
      </c>
      <c r="E224" s="16">
        <v>3025</v>
      </c>
      <c r="F224" s="16">
        <v>3025</v>
      </c>
      <c r="G224" s="16">
        <v>3360</v>
      </c>
    </row>
    <row r="225" spans="1:7" x14ac:dyDescent="0.25">
      <c r="A225" t="s">
        <v>653</v>
      </c>
      <c r="C225" s="16">
        <v>22525</v>
      </c>
      <c r="D225" s="16">
        <v>26500</v>
      </c>
      <c r="E225" s="16">
        <v>28620</v>
      </c>
      <c r="F225" s="16">
        <v>28620</v>
      </c>
      <c r="G225" s="16">
        <v>31800</v>
      </c>
    </row>
    <row r="226" spans="1:7" x14ac:dyDescent="0.25">
      <c r="A226" t="s">
        <v>320</v>
      </c>
      <c r="B226" t="s">
        <v>321</v>
      </c>
      <c r="C226" s="16">
        <v>2125</v>
      </c>
      <c r="D226" s="16">
        <v>2500</v>
      </c>
      <c r="E226" s="16">
        <v>2700</v>
      </c>
      <c r="F226" s="16">
        <v>2700</v>
      </c>
      <c r="G226" s="16">
        <v>3000</v>
      </c>
    </row>
    <row r="227" spans="1:7" x14ac:dyDescent="0.25">
      <c r="A227" t="s">
        <v>322</v>
      </c>
      <c r="C227" s="16">
        <v>1700</v>
      </c>
      <c r="D227" s="16">
        <v>2000</v>
      </c>
      <c r="E227" s="16">
        <v>2160</v>
      </c>
      <c r="F227" s="16">
        <v>2160</v>
      </c>
      <c r="G227" s="16">
        <v>2400</v>
      </c>
    </row>
    <row r="228" spans="1:7" x14ac:dyDescent="0.25">
      <c r="A228" t="s">
        <v>323</v>
      </c>
      <c r="C228" s="16">
        <v>2125</v>
      </c>
      <c r="D228" s="16">
        <v>2500</v>
      </c>
      <c r="E228" s="16">
        <v>2700</v>
      </c>
      <c r="F228" s="16">
        <v>2700</v>
      </c>
      <c r="G228" s="16">
        <v>3000</v>
      </c>
    </row>
    <row r="229" spans="1:7" x14ac:dyDescent="0.25">
      <c r="A229" t="s">
        <v>324</v>
      </c>
      <c r="C229" s="16">
        <v>17000</v>
      </c>
      <c r="D229" s="16">
        <v>20000</v>
      </c>
      <c r="E229" s="16">
        <v>21600</v>
      </c>
      <c r="F229" s="16">
        <v>21600</v>
      </c>
      <c r="G229" s="16">
        <v>24000</v>
      </c>
    </row>
    <row r="230" spans="1:7" x14ac:dyDescent="0.25">
      <c r="A230" t="s">
        <v>325</v>
      </c>
      <c r="C230" s="16">
        <v>85000</v>
      </c>
      <c r="D230" s="16">
        <v>100000</v>
      </c>
      <c r="E230" s="16">
        <v>108000</v>
      </c>
      <c r="F230" s="16">
        <v>108000</v>
      </c>
      <c r="G230" s="16">
        <v>120000</v>
      </c>
    </row>
    <row r="231" spans="1:7" x14ac:dyDescent="0.25">
      <c r="A231" t="s">
        <v>326</v>
      </c>
      <c r="C231" s="16">
        <v>425000</v>
      </c>
      <c r="D231" s="16">
        <v>500000</v>
      </c>
      <c r="E231" s="16">
        <v>540000</v>
      </c>
      <c r="F231" s="16">
        <v>540000</v>
      </c>
      <c r="G231" s="16">
        <v>600000</v>
      </c>
    </row>
    <row r="232" spans="1:7" x14ac:dyDescent="0.25">
      <c r="A232" t="s">
        <v>327</v>
      </c>
      <c r="C232" s="16">
        <v>1275</v>
      </c>
      <c r="D232" s="16">
        <v>1500</v>
      </c>
      <c r="E232" s="16">
        <v>1620</v>
      </c>
      <c r="F232" s="16">
        <v>1620</v>
      </c>
      <c r="G232" s="16">
        <v>1800</v>
      </c>
    </row>
    <row r="233" spans="1:7" x14ac:dyDescent="0.25">
      <c r="A233" t="s">
        <v>328</v>
      </c>
      <c r="C233" s="16">
        <v>1615</v>
      </c>
      <c r="D233" s="16">
        <v>1900</v>
      </c>
      <c r="E233" s="16">
        <v>2050</v>
      </c>
      <c r="F233" s="16">
        <v>2050</v>
      </c>
      <c r="G233" s="16">
        <v>2280</v>
      </c>
    </row>
    <row r="234" spans="1:7" x14ac:dyDescent="0.25">
      <c r="A234" t="s">
        <v>329</v>
      </c>
      <c r="C234" s="16">
        <v>6375</v>
      </c>
      <c r="D234" s="16">
        <v>7500</v>
      </c>
      <c r="E234" s="16">
        <v>8100</v>
      </c>
      <c r="F234" s="16">
        <v>8100</v>
      </c>
      <c r="G234" s="16">
        <v>9000</v>
      </c>
    </row>
    <row r="235" spans="1:7" x14ac:dyDescent="0.25">
      <c r="A235" t="s">
        <v>330</v>
      </c>
      <c r="C235" s="16">
        <v>21250</v>
      </c>
      <c r="D235" s="16">
        <v>25000</v>
      </c>
      <c r="E235" s="16">
        <v>27000</v>
      </c>
      <c r="F235" s="16">
        <v>27000</v>
      </c>
      <c r="G235" s="16">
        <v>30000</v>
      </c>
    </row>
    <row r="236" spans="1:7" x14ac:dyDescent="0.25">
      <c r="A236" t="s">
        <v>331</v>
      </c>
      <c r="C236" s="16">
        <v>68000</v>
      </c>
      <c r="D236" s="16">
        <v>80000</v>
      </c>
      <c r="E236" s="16">
        <v>86400</v>
      </c>
      <c r="F236" s="16">
        <v>86400</v>
      </c>
      <c r="G236" s="16">
        <v>84000</v>
      </c>
    </row>
    <row r="237" spans="1:7" x14ac:dyDescent="0.25">
      <c r="A237" t="s">
        <v>332</v>
      </c>
      <c r="C237" s="16">
        <v>2550</v>
      </c>
      <c r="D237" s="16">
        <v>3000</v>
      </c>
      <c r="E237" s="16">
        <v>3240</v>
      </c>
      <c r="F237" s="16">
        <v>3240</v>
      </c>
      <c r="G237" s="16">
        <v>3600</v>
      </c>
    </row>
    <row r="238" spans="1:7" x14ac:dyDescent="0.25">
      <c r="A238" t="s">
        <v>333</v>
      </c>
      <c r="C238" s="16">
        <v>1020</v>
      </c>
      <c r="D238" s="16">
        <v>1200</v>
      </c>
      <c r="E238" s="16">
        <v>1295</v>
      </c>
      <c r="F238" s="16">
        <v>1295</v>
      </c>
      <c r="G238" s="16">
        <v>1440</v>
      </c>
    </row>
    <row r="239" spans="1:7" x14ac:dyDescent="0.25">
      <c r="A239" t="s">
        <v>334</v>
      </c>
      <c r="C239" s="16">
        <v>4760</v>
      </c>
      <c r="D239" s="16">
        <v>5600</v>
      </c>
      <c r="E239" s="16">
        <v>6050</v>
      </c>
      <c r="F239" s="16">
        <v>6050</v>
      </c>
      <c r="G239" s="16">
        <v>6720</v>
      </c>
    </row>
    <row r="240" spans="1:7" x14ac:dyDescent="0.25">
      <c r="A240" t="s">
        <v>335</v>
      </c>
      <c r="C240" s="16">
        <v>47220</v>
      </c>
      <c r="D240" s="16">
        <v>55555</v>
      </c>
      <c r="E240" s="16">
        <v>60000</v>
      </c>
      <c r="F240" s="16">
        <v>60000</v>
      </c>
      <c r="G240" s="16">
        <v>66665</v>
      </c>
    </row>
    <row r="241" spans="1:7" x14ac:dyDescent="0.25">
      <c r="A241" t="s">
        <v>336</v>
      </c>
      <c r="C241" s="16">
        <v>170000</v>
      </c>
      <c r="D241" s="16">
        <v>200000</v>
      </c>
      <c r="E241" s="16">
        <v>216000</v>
      </c>
      <c r="F241" s="16">
        <v>216000</v>
      </c>
      <c r="G241" s="16">
        <v>240000</v>
      </c>
    </row>
    <row r="242" spans="1:7" x14ac:dyDescent="0.25">
      <c r="A242" t="s">
        <v>337</v>
      </c>
      <c r="B242" t="s">
        <v>338</v>
      </c>
      <c r="C242" s="16">
        <v>425</v>
      </c>
      <c r="D242" s="16">
        <v>500</v>
      </c>
      <c r="E242" s="16">
        <v>540</v>
      </c>
      <c r="F242" s="16">
        <v>540</v>
      </c>
      <c r="G242" s="16">
        <v>480</v>
      </c>
    </row>
    <row r="243" spans="1:7" x14ac:dyDescent="0.25">
      <c r="A243" t="s">
        <v>339</v>
      </c>
      <c r="B243" t="s">
        <v>340</v>
      </c>
      <c r="C243" s="16">
        <v>255</v>
      </c>
      <c r="D243" s="16">
        <v>300</v>
      </c>
      <c r="E243" s="16">
        <v>325</v>
      </c>
      <c r="F243" s="16">
        <v>325</v>
      </c>
      <c r="G243" s="16">
        <v>420</v>
      </c>
    </row>
    <row r="244" spans="1:7" x14ac:dyDescent="0.25">
      <c r="A244" t="s">
        <v>341</v>
      </c>
      <c r="B244" t="s">
        <v>342</v>
      </c>
      <c r="C244" s="16">
        <v>295</v>
      </c>
      <c r="D244" s="16">
        <v>350</v>
      </c>
      <c r="E244" s="16">
        <v>380</v>
      </c>
      <c r="F244" s="16">
        <v>380</v>
      </c>
      <c r="G244" s="16">
        <v>420</v>
      </c>
    </row>
    <row r="245" spans="1:7" x14ac:dyDescent="0.25">
      <c r="A245" t="s">
        <v>343</v>
      </c>
      <c r="B245" t="s">
        <v>344</v>
      </c>
      <c r="C245" s="16">
        <v>620</v>
      </c>
      <c r="D245" s="16">
        <v>750</v>
      </c>
      <c r="E245" s="16">
        <v>920</v>
      </c>
      <c r="F245" s="16">
        <v>920</v>
      </c>
      <c r="G245" s="16">
        <v>1080</v>
      </c>
    </row>
    <row r="246" spans="1:7" x14ac:dyDescent="0.25">
      <c r="A246" t="s">
        <v>345</v>
      </c>
      <c r="B246" t="s">
        <v>346</v>
      </c>
      <c r="C246" s="16">
        <v>2335</v>
      </c>
      <c r="D246" s="16">
        <v>2750</v>
      </c>
      <c r="E246" s="16">
        <v>2970</v>
      </c>
      <c r="F246" s="16">
        <v>2970</v>
      </c>
      <c r="G246" s="16">
        <v>3300</v>
      </c>
    </row>
    <row r="247" spans="1:7" x14ac:dyDescent="0.25">
      <c r="A247" t="s">
        <v>347</v>
      </c>
      <c r="B247" t="s">
        <v>348</v>
      </c>
      <c r="C247" s="16">
        <v>29750</v>
      </c>
      <c r="D247" s="16">
        <v>35000</v>
      </c>
      <c r="E247" s="16">
        <v>37800</v>
      </c>
      <c r="F247" s="16">
        <v>37800</v>
      </c>
      <c r="G247" s="16">
        <v>42000</v>
      </c>
    </row>
    <row r="248" spans="1:7" x14ac:dyDescent="0.25">
      <c r="A248" t="s">
        <v>349</v>
      </c>
      <c r="B248" t="s">
        <v>350</v>
      </c>
      <c r="C248" s="16">
        <v>295</v>
      </c>
      <c r="D248" s="16">
        <v>350</v>
      </c>
      <c r="E248" s="16">
        <v>380</v>
      </c>
      <c r="F248" s="16">
        <v>380</v>
      </c>
      <c r="G248" s="16">
        <v>300</v>
      </c>
    </row>
    <row r="249" spans="1:7" x14ac:dyDescent="0.25">
      <c r="A249" t="s">
        <v>351</v>
      </c>
      <c r="B249" t="s">
        <v>352</v>
      </c>
      <c r="C249" s="16">
        <v>425</v>
      </c>
      <c r="D249" s="16">
        <v>500</v>
      </c>
      <c r="E249" s="16">
        <v>540</v>
      </c>
      <c r="F249" s="16">
        <v>540</v>
      </c>
      <c r="G249" s="16">
        <v>480</v>
      </c>
    </row>
    <row r="250" spans="1:7" x14ac:dyDescent="0.25">
      <c r="A250" t="s">
        <v>353</v>
      </c>
      <c r="B250" t="s">
        <v>354</v>
      </c>
      <c r="C250" s="16">
        <v>765</v>
      </c>
      <c r="D250" s="16">
        <v>900</v>
      </c>
      <c r="E250" s="16">
        <v>970</v>
      </c>
      <c r="F250" s="16">
        <v>970</v>
      </c>
      <c r="G250" s="16">
        <v>1440</v>
      </c>
    </row>
    <row r="251" spans="1:7" x14ac:dyDescent="0.25">
      <c r="A251" t="s">
        <v>355</v>
      </c>
      <c r="B251" t="s">
        <v>356</v>
      </c>
      <c r="C251" s="16">
        <v>4420</v>
      </c>
      <c r="D251" s="16">
        <v>5200</v>
      </c>
      <c r="E251" s="16">
        <v>5615</v>
      </c>
      <c r="F251" s="16">
        <v>5615</v>
      </c>
      <c r="G251" s="16">
        <v>6240</v>
      </c>
    </row>
    <row r="252" spans="1:7" x14ac:dyDescent="0.25">
      <c r="A252" t="s">
        <v>357</v>
      </c>
      <c r="B252" t="s">
        <v>358</v>
      </c>
      <c r="C252" s="16">
        <v>18700</v>
      </c>
      <c r="D252" s="16">
        <v>22000</v>
      </c>
      <c r="E252" s="16">
        <v>23760</v>
      </c>
      <c r="F252" s="16">
        <v>23760</v>
      </c>
      <c r="G252" s="16">
        <v>26400</v>
      </c>
    </row>
    <row r="253" spans="1:7" x14ac:dyDescent="0.25">
      <c r="A253" t="s">
        <v>359</v>
      </c>
      <c r="B253" t="s">
        <v>360</v>
      </c>
      <c r="C253" s="16">
        <v>210</v>
      </c>
      <c r="D253" s="16">
        <v>250</v>
      </c>
      <c r="E253" s="16">
        <v>270</v>
      </c>
      <c r="F253" s="16">
        <v>270</v>
      </c>
      <c r="G253" s="16">
        <v>360</v>
      </c>
    </row>
    <row r="254" spans="1:7" x14ac:dyDescent="0.25">
      <c r="A254" t="s">
        <v>361</v>
      </c>
      <c r="B254" t="s">
        <v>362</v>
      </c>
      <c r="C254" s="16">
        <v>340</v>
      </c>
      <c r="D254" s="16">
        <v>400</v>
      </c>
      <c r="E254" s="16">
        <v>430</v>
      </c>
      <c r="F254" s="16">
        <v>430</v>
      </c>
      <c r="G254" s="16">
        <v>540</v>
      </c>
    </row>
    <row r="255" spans="1:7" x14ac:dyDescent="0.25">
      <c r="A255" t="s">
        <v>363</v>
      </c>
      <c r="B255" t="s">
        <v>364</v>
      </c>
      <c r="C255" s="16">
        <v>1910</v>
      </c>
      <c r="D255" s="16">
        <v>2250</v>
      </c>
      <c r="E255" s="16">
        <v>2430</v>
      </c>
      <c r="F255" s="16">
        <v>2430</v>
      </c>
      <c r="G255" s="16">
        <v>2700</v>
      </c>
    </row>
    <row r="256" spans="1:7" x14ac:dyDescent="0.25">
      <c r="A256" t="s">
        <v>365</v>
      </c>
      <c r="B256" t="s">
        <v>366</v>
      </c>
      <c r="C256" s="16">
        <v>4250</v>
      </c>
      <c r="D256" s="16">
        <v>5000</v>
      </c>
      <c r="E256" s="16">
        <v>5400</v>
      </c>
      <c r="F256" s="16">
        <v>5400</v>
      </c>
      <c r="G256" s="16">
        <v>6000</v>
      </c>
    </row>
    <row r="257" spans="1:7" x14ac:dyDescent="0.25">
      <c r="A257" t="s">
        <v>367</v>
      </c>
      <c r="B257" t="s">
        <v>368</v>
      </c>
      <c r="C257" s="16">
        <v>34000</v>
      </c>
      <c r="D257" s="16">
        <v>40000</v>
      </c>
      <c r="E257" s="16">
        <v>43200</v>
      </c>
      <c r="F257" s="16">
        <v>43200</v>
      </c>
      <c r="G257" s="16">
        <v>48000</v>
      </c>
    </row>
    <row r="258" spans="1:7" x14ac:dyDescent="0.25">
      <c r="A258" t="s">
        <v>369</v>
      </c>
      <c r="B258" t="s">
        <v>370</v>
      </c>
      <c r="C258" s="16">
        <v>470</v>
      </c>
      <c r="D258" s="16">
        <v>550</v>
      </c>
      <c r="E258" s="16">
        <v>595</v>
      </c>
      <c r="F258" s="16">
        <v>595</v>
      </c>
      <c r="G258" s="16">
        <v>660</v>
      </c>
    </row>
    <row r="259" spans="1:7" x14ac:dyDescent="0.25">
      <c r="A259" t="s">
        <v>371</v>
      </c>
      <c r="C259" s="16">
        <v>210</v>
      </c>
      <c r="D259" s="16">
        <v>250</v>
      </c>
      <c r="E259" s="16">
        <v>270</v>
      </c>
      <c r="F259" s="16">
        <v>270</v>
      </c>
      <c r="G259" s="16">
        <v>300</v>
      </c>
    </row>
    <row r="260" spans="1:7" x14ac:dyDescent="0.25">
      <c r="A260" t="s">
        <v>372</v>
      </c>
      <c r="C260" s="16">
        <v>295</v>
      </c>
      <c r="D260" s="16">
        <v>350</v>
      </c>
      <c r="E260" s="16">
        <v>380</v>
      </c>
      <c r="F260" s="16">
        <v>380</v>
      </c>
      <c r="G260" s="16">
        <v>420</v>
      </c>
    </row>
    <row r="261" spans="1:7" x14ac:dyDescent="0.25">
      <c r="A261" t="s">
        <v>373</v>
      </c>
      <c r="C261" s="16">
        <v>1105</v>
      </c>
      <c r="D261" s="16">
        <v>1300</v>
      </c>
      <c r="E261" s="16">
        <v>1405</v>
      </c>
      <c r="F261" s="16">
        <v>1405</v>
      </c>
      <c r="G261" s="16">
        <v>1560</v>
      </c>
    </row>
    <row r="262" spans="1:7" x14ac:dyDescent="0.25">
      <c r="A262" t="s">
        <v>374</v>
      </c>
      <c r="C262" s="16">
        <v>2505</v>
      </c>
      <c r="D262" s="16">
        <v>2950</v>
      </c>
      <c r="E262" s="16">
        <v>3185</v>
      </c>
      <c r="F262" s="16">
        <v>3185</v>
      </c>
      <c r="G262" s="16">
        <v>3540</v>
      </c>
    </row>
    <row r="263" spans="1:7" x14ac:dyDescent="0.25">
      <c r="A263" t="s">
        <v>375</v>
      </c>
      <c r="C263" s="16">
        <v>51000</v>
      </c>
      <c r="D263" s="16">
        <v>60000</v>
      </c>
      <c r="E263" s="16">
        <v>64800</v>
      </c>
      <c r="F263" s="16">
        <v>64800</v>
      </c>
      <c r="G263" s="16">
        <v>72000</v>
      </c>
    </row>
    <row r="264" spans="1:7" x14ac:dyDescent="0.25">
      <c r="A264" t="s">
        <v>376</v>
      </c>
      <c r="C264" s="16">
        <v>210</v>
      </c>
      <c r="D264" s="16">
        <v>250</v>
      </c>
      <c r="E264" s="16">
        <v>270</v>
      </c>
      <c r="F264" s="16">
        <v>270</v>
      </c>
      <c r="G264" s="16">
        <v>300</v>
      </c>
    </row>
    <row r="265" spans="1:7" x14ac:dyDescent="0.25">
      <c r="A265" t="s">
        <v>377</v>
      </c>
      <c r="C265" s="16">
        <v>405</v>
      </c>
      <c r="D265" s="16">
        <v>475</v>
      </c>
      <c r="E265" s="16">
        <v>515</v>
      </c>
      <c r="F265" s="16">
        <v>515</v>
      </c>
      <c r="G265" s="16">
        <v>570</v>
      </c>
    </row>
    <row r="266" spans="1:7" x14ac:dyDescent="0.25">
      <c r="A266" t="s">
        <v>378</v>
      </c>
      <c r="C266" s="16">
        <v>2550</v>
      </c>
      <c r="D266" s="16">
        <v>3000</v>
      </c>
      <c r="E266" s="16">
        <v>3240</v>
      </c>
      <c r="F266" s="16">
        <v>3240</v>
      </c>
      <c r="G266" s="16">
        <v>3600</v>
      </c>
    </row>
    <row r="267" spans="1:7" x14ac:dyDescent="0.25">
      <c r="A267" t="s">
        <v>379</v>
      </c>
      <c r="C267" s="16">
        <v>3825</v>
      </c>
      <c r="D267" s="16">
        <v>4500</v>
      </c>
      <c r="E267" s="16">
        <v>4860</v>
      </c>
      <c r="F267" s="16">
        <v>4860</v>
      </c>
      <c r="G267" s="16">
        <v>5400</v>
      </c>
    </row>
    <row r="268" spans="1:7" x14ac:dyDescent="0.25">
      <c r="A268" t="s">
        <v>380</v>
      </c>
      <c r="C268" s="16">
        <v>38250</v>
      </c>
      <c r="D268" s="16">
        <v>45000</v>
      </c>
      <c r="E268" s="16">
        <v>48600</v>
      </c>
      <c r="F268" s="16">
        <v>48600</v>
      </c>
      <c r="G268" s="16">
        <v>54000</v>
      </c>
    </row>
    <row r="269" spans="1:7" x14ac:dyDescent="0.25">
      <c r="A269" t="s">
        <v>381</v>
      </c>
      <c r="C269" s="16">
        <v>550</v>
      </c>
      <c r="D269" s="16">
        <v>650</v>
      </c>
      <c r="E269" s="16">
        <v>700</v>
      </c>
      <c r="F269" s="16">
        <v>700</v>
      </c>
      <c r="G269" s="16">
        <v>780</v>
      </c>
    </row>
    <row r="270" spans="1:7" x14ac:dyDescent="0.25">
      <c r="A270" t="s">
        <v>382</v>
      </c>
      <c r="C270" s="16">
        <v>380</v>
      </c>
      <c r="D270" s="16">
        <v>450</v>
      </c>
      <c r="E270" s="16">
        <v>485</v>
      </c>
      <c r="F270" s="16">
        <v>485</v>
      </c>
      <c r="G270" s="16">
        <v>540</v>
      </c>
    </row>
    <row r="271" spans="1:7" x14ac:dyDescent="0.25">
      <c r="A271" t="s">
        <v>383</v>
      </c>
      <c r="C271" s="16">
        <v>850</v>
      </c>
      <c r="D271" s="16">
        <v>1000</v>
      </c>
      <c r="E271" s="16">
        <v>1080</v>
      </c>
      <c r="F271" s="16">
        <v>1080</v>
      </c>
      <c r="G271" s="16">
        <v>1200</v>
      </c>
    </row>
    <row r="272" spans="1:7" x14ac:dyDescent="0.25">
      <c r="A272" t="s">
        <v>384</v>
      </c>
      <c r="C272" s="16">
        <v>2335</v>
      </c>
      <c r="D272" s="16">
        <v>2750</v>
      </c>
      <c r="E272" s="16">
        <v>2970</v>
      </c>
      <c r="F272" s="16">
        <v>2970</v>
      </c>
      <c r="G272" s="16">
        <v>3300</v>
      </c>
    </row>
    <row r="273" spans="1:7" x14ac:dyDescent="0.25">
      <c r="A273" t="s">
        <v>385</v>
      </c>
      <c r="C273" s="16">
        <v>34000</v>
      </c>
      <c r="D273" s="16">
        <v>40000</v>
      </c>
      <c r="E273" s="16">
        <v>43200</v>
      </c>
      <c r="F273" s="16">
        <v>43200</v>
      </c>
      <c r="G273" s="16">
        <v>48000</v>
      </c>
    </row>
    <row r="274" spans="1:7" x14ac:dyDescent="0.25">
      <c r="A274" t="s">
        <v>386</v>
      </c>
      <c r="B274" t="s">
        <v>387</v>
      </c>
      <c r="C274" s="16">
        <v>340</v>
      </c>
      <c r="D274" s="16">
        <v>400</v>
      </c>
      <c r="E274" s="16">
        <v>430</v>
      </c>
      <c r="F274" s="16">
        <v>430</v>
      </c>
      <c r="G274" s="16">
        <v>480</v>
      </c>
    </row>
    <row r="275" spans="1:7" x14ac:dyDescent="0.25">
      <c r="A275" t="s">
        <v>388</v>
      </c>
      <c r="C275" s="16">
        <v>295</v>
      </c>
      <c r="D275" s="16">
        <v>350</v>
      </c>
      <c r="E275" s="16">
        <v>380</v>
      </c>
      <c r="F275" s="16">
        <v>380</v>
      </c>
      <c r="G275" s="16">
        <v>420</v>
      </c>
    </row>
    <row r="276" spans="1:7" x14ac:dyDescent="0.25">
      <c r="A276" t="s">
        <v>389</v>
      </c>
      <c r="C276" s="16">
        <v>720</v>
      </c>
      <c r="D276" s="16">
        <v>850</v>
      </c>
      <c r="E276" s="16">
        <v>920</v>
      </c>
      <c r="F276" s="16">
        <v>920</v>
      </c>
      <c r="G276" s="16">
        <v>1020</v>
      </c>
    </row>
    <row r="277" spans="1:7" x14ac:dyDescent="0.25">
      <c r="A277" t="s">
        <v>390</v>
      </c>
      <c r="C277" s="16">
        <v>1445</v>
      </c>
      <c r="D277" s="16">
        <v>1700</v>
      </c>
      <c r="E277" s="16">
        <v>1835</v>
      </c>
      <c r="F277" s="16">
        <v>1835</v>
      </c>
      <c r="G277" s="16">
        <v>2040</v>
      </c>
    </row>
    <row r="278" spans="1:7" x14ac:dyDescent="0.25">
      <c r="A278" t="s">
        <v>391</v>
      </c>
      <c r="C278" s="16">
        <v>3825</v>
      </c>
      <c r="D278" s="16">
        <v>4500</v>
      </c>
      <c r="E278" s="16">
        <v>4860</v>
      </c>
      <c r="F278" s="16">
        <v>4860</v>
      </c>
      <c r="G278" s="16">
        <v>5400</v>
      </c>
    </row>
    <row r="279" spans="1:7" x14ac:dyDescent="0.25">
      <c r="A279" t="s">
        <v>392</v>
      </c>
      <c r="C279" s="16">
        <v>51000</v>
      </c>
      <c r="D279" s="16">
        <v>60000</v>
      </c>
      <c r="E279" s="16">
        <v>64800</v>
      </c>
      <c r="F279" s="16">
        <v>64800</v>
      </c>
      <c r="G279" s="16">
        <v>72000</v>
      </c>
    </row>
    <row r="280" spans="1:7" x14ac:dyDescent="0.25">
      <c r="A280" t="s">
        <v>393</v>
      </c>
      <c r="C280" s="16">
        <v>210</v>
      </c>
      <c r="D280" s="16">
        <v>250</v>
      </c>
      <c r="E280" s="16">
        <v>270</v>
      </c>
      <c r="F280" s="16">
        <v>270</v>
      </c>
      <c r="G280" s="16">
        <v>300</v>
      </c>
    </row>
    <row r="281" spans="1:7" x14ac:dyDescent="0.25">
      <c r="A281" t="s">
        <v>394</v>
      </c>
      <c r="C281" s="16">
        <v>295</v>
      </c>
      <c r="D281" s="16">
        <v>250</v>
      </c>
      <c r="E281" s="16">
        <v>380</v>
      </c>
      <c r="F281" s="16">
        <v>380</v>
      </c>
      <c r="G281" s="16">
        <v>420</v>
      </c>
    </row>
    <row r="282" spans="1:7" x14ac:dyDescent="0.25">
      <c r="A282" t="s">
        <v>395</v>
      </c>
      <c r="C282" s="16">
        <v>890</v>
      </c>
      <c r="D282" s="16">
        <v>1050</v>
      </c>
      <c r="E282" s="16">
        <v>1135</v>
      </c>
      <c r="F282" s="16">
        <v>1135</v>
      </c>
      <c r="G282" s="16">
        <v>1260</v>
      </c>
    </row>
    <row r="283" spans="1:7" x14ac:dyDescent="0.25">
      <c r="A283" t="s">
        <v>396</v>
      </c>
      <c r="C283" s="16">
        <v>4165</v>
      </c>
      <c r="D283" s="16">
        <v>4900</v>
      </c>
      <c r="E283" s="16">
        <v>5290</v>
      </c>
      <c r="F283" s="16">
        <v>5290</v>
      </c>
      <c r="G283" s="16">
        <v>5880</v>
      </c>
    </row>
    <row r="284" spans="1:7" x14ac:dyDescent="0.25">
      <c r="A284" t="s">
        <v>397</v>
      </c>
      <c r="C284" s="16">
        <v>29750</v>
      </c>
      <c r="D284" s="16">
        <v>35000</v>
      </c>
      <c r="E284" s="16">
        <v>37800</v>
      </c>
      <c r="F284" s="16">
        <v>37800</v>
      </c>
      <c r="G284" s="16">
        <v>42000</v>
      </c>
    </row>
    <row r="285" spans="1:7" x14ac:dyDescent="0.25">
      <c r="A285" t="s">
        <v>398</v>
      </c>
      <c r="C285" s="16">
        <v>85</v>
      </c>
      <c r="D285" s="16">
        <v>100</v>
      </c>
      <c r="E285" s="16">
        <v>110</v>
      </c>
      <c r="F285" s="16">
        <v>110</v>
      </c>
      <c r="G285" s="16">
        <v>120</v>
      </c>
    </row>
    <row r="286" spans="1:7" x14ac:dyDescent="0.25">
      <c r="A286" t="s">
        <v>399</v>
      </c>
      <c r="C286" s="16">
        <v>255</v>
      </c>
      <c r="D286" s="16">
        <v>300</v>
      </c>
      <c r="E286" s="16">
        <v>325</v>
      </c>
      <c r="F286" s="16">
        <v>325</v>
      </c>
      <c r="G286" s="16">
        <v>360</v>
      </c>
    </row>
    <row r="287" spans="1:7" x14ac:dyDescent="0.25">
      <c r="A287" t="s">
        <v>400</v>
      </c>
      <c r="C287" s="16">
        <v>510</v>
      </c>
      <c r="D287" s="16">
        <v>600</v>
      </c>
      <c r="E287" s="16">
        <v>650</v>
      </c>
      <c r="F287" s="16">
        <v>650</v>
      </c>
      <c r="G287" s="16">
        <v>7220</v>
      </c>
    </row>
    <row r="288" spans="1:7" x14ac:dyDescent="0.25">
      <c r="A288" t="s">
        <v>401</v>
      </c>
      <c r="C288" s="16">
        <v>2125</v>
      </c>
      <c r="D288" s="16">
        <v>2500</v>
      </c>
      <c r="E288" s="16">
        <v>2700</v>
      </c>
      <c r="F288" s="16">
        <v>2700</v>
      </c>
      <c r="G288" s="16">
        <v>3000</v>
      </c>
    </row>
    <row r="289" spans="1:7" x14ac:dyDescent="0.25">
      <c r="A289" t="s">
        <v>402</v>
      </c>
      <c r="C289" s="16">
        <v>38250</v>
      </c>
      <c r="D289" s="16">
        <v>45000</v>
      </c>
      <c r="E289" s="16">
        <v>48600</v>
      </c>
      <c r="F289" s="16">
        <v>48600</v>
      </c>
      <c r="G289" s="16">
        <v>54000</v>
      </c>
    </row>
    <row r="290" spans="1:7" x14ac:dyDescent="0.25">
      <c r="A290" t="s">
        <v>403</v>
      </c>
      <c r="B290" t="s">
        <v>404</v>
      </c>
      <c r="C290" s="16">
        <v>1060</v>
      </c>
      <c r="D290" s="16">
        <v>1250</v>
      </c>
      <c r="E290" s="16">
        <v>1350</v>
      </c>
      <c r="F290" s="16"/>
      <c r="G290" s="16">
        <v>1500</v>
      </c>
    </row>
    <row r="291" spans="1:7" x14ac:dyDescent="0.25">
      <c r="A291" t="s">
        <v>405</v>
      </c>
      <c r="C291" s="16">
        <v>425</v>
      </c>
      <c r="D291" s="16">
        <v>500</v>
      </c>
      <c r="E291" s="16">
        <v>540</v>
      </c>
      <c r="F291" s="16"/>
      <c r="G291" s="16">
        <v>600</v>
      </c>
    </row>
    <row r="292" spans="1:7" x14ac:dyDescent="0.25">
      <c r="A292" t="s">
        <v>406</v>
      </c>
      <c r="C292" s="16">
        <v>510</v>
      </c>
      <c r="D292" s="16">
        <v>600</v>
      </c>
      <c r="E292" s="16">
        <v>650</v>
      </c>
      <c r="F292" s="16"/>
      <c r="G292" s="16">
        <v>720</v>
      </c>
    </row>
    <row r="293" spans="1:7" x14ac:dyDescent="0.25">
      <c r="A293" t="s">
        <v>407</v>
      </c>
      <c r="C293" s="16">
        <v>2550</v>
      </c>
      <c r="D293" s="16">
        <v>3000</v>
      </c>
      <c r="E293" s="16">
        <v>3240</v>
      </c>
      <c r="F293" s="16"/>
      <c r="G293" s="16">
        <v>3600</v>
      </c>
    </row>
    <row r="294" spans="1:7" x14ac:dyDescent="0.25">
      <c r="A294" t="s">
        <v>408</v>
      </c>
      <c r="C294" s="16">
        <v>16150</v>
      </c>
      <c r="D294" s="16">
        <v>19000</v>
      </c>
      <c r="E294" s="16">
        <v>20520</v>
      </c>
      <c r="F294" s="16"/>
      <c r="G294" s="16">
        <v>22800</v>
      </c>
    </row>
    <row r="295" spans="1:7" x14ac:dyDescent="0.25">
      <c r="A295" t="s">
        <v>409</v>
      </c>
      <c r="C295" s="16">
        <v>97750</v>
      </c>
      <c r="D295" s="16">
        <v>115000</v>
      </c>
      <c r="E295" s="16">
        <v>124200</v>
      </c>
      <c r="F295" s="16"/>
      <c r="G295" s="16">
        <v>138000</v>
      </c>
    </row>
    <row r="296" spans="1:7" x14ac:dyDescent="0.25">
      <c r="A296" t="s">
        <v>410</v>
      </c>
      <c r="C296" s="16">
        <v>255</v>
      </c>
      <c r="D296" s="16">
        <v>300</v>
      </c>
      <c r="E296" s="16">
        <v>325</v>
      </c>
      <c r="F296" s="16"/>
      <c r="G296" s="16">
        <v>360</v>
      </c>
    </row>
    <row r="297" spans="1:7" x14ac:dyDescent="0.25">
      <c r="A297" t="s">
        <v>411</v>
      </c>
      <c r="C297" s="16">
        <v>680</v>
      </c>
      <c r="D297" s="16">
        <v>800</v>
      </c>
      <c r="E297" s="16">
        <v>865</v>
      </c>
      <c r="F297" s="16"/>
      <c r="G297" s="16">
        <v>960</v>
      </c>
    </row>
    <row r="298" spans="1:7" x14ac:dyDescent="0.25">
      <c r="A298" t="s">
        <v>412</v>
      </c>
      <c r="C298" s="16">
        <v>3100</v>
      </c>
      <c r="D298" s="16">
        <v>3650</v>
      </c>
      <c r="E298" s="16">
        <v>3940</v>
      </c>
      <c r="F298" s="16"/>
      <c r="G298" s="16">
        <v>4380</v>
      </c>
    </row>
    <row r="299" spans="1:7" x14ac:dyDescent="0.25">
      <c r="A299" t="s">
        <v>413</v>
      </c>
      <c r="C299" s="16">
        <v>6120</v>
      </c>
      <c r="D299" s="16">
        <v>7200</v>
      </c>
      <c r="E299" s="16">
        <v>7775</v>
      </c>
      <c r="F299" s="16"/>
      <c r="G299" s="16">
        <v>8640</v>
      </c>
    </row>
    <row r="300" spans="1:7" x14ac:dyDescent="0.25">
      <c r="A300" t="s">
        <v>414</v>
      </c>
      <c r="C300" s="16">
        <v>85000</v>
      </c>
      <c r="D300" s="16">
        <v>100000</v>
      </c>
      <c r="E300" s="16">
        <v>108000</v>
      </c>
      <c r="F300" s="16"/>
      <c r="G300" s="16">
        <v>120000</v>
      </c>
    </row>
    <row r="301" spans="1:7" x14ac:dyDescent="0.25">
      <c r="A301" t="s">
        <v>415</v>
      </c>
      <c r="C301" s="16">
        <v>210</v>
      </c>
      <c r="D301" s="16">
        <v>250</v>
      </c>
      <c r="E301" s="16">
        <v>270</v>
      </c>
      <c r="F301" s="16"/>
      <c r="G301" s="16">
        <v>300</v>
      </c>
    </row>
    <row r="302" spans="1:7" x14ac:dyDescent="0.25">
      <c r="A302" t="s">
        <v>416</v>
      </c>
      <c r="C302" s="16">
        <v>340</v>
      </c>
      <c r="D302" s="16">
        <v>400</v>
      </c>
      <c r="E302" s="16">
        <v>430</v>
      </c>
      <c r="F302" s="16"/>
      <c r="G302" s="16">
        <v>480</v>
      </c>
    </row>
    <row r="303" spans="1:7" x14ac:dyDescent="0.25">
      <c r="A303" t="s">
        <v>417</v>
      </c>
      <c r="C303" s="16">
        <v>2295</v>
      </c>
      <c r="D303" s="16">
        <v>2700</v>
      </c>
      <c r="E303" s="16">
        <v>2915</v>
      </c>
      <c r="F303" s="16"/>
      <c r="G303" s="16">
        <v>3240</v>
      </c>
    </row>
    <row r="304" spans="1:7" x14ac:dyDescent="0.25">
      <c r="A304" t="s">
        <v>418</v>
      </c>
      <c r="C304" s="16">
        <v>12750</v>
      </c>
      <c r="D304" s="16">
        <v>15000</v>
      </c>
      <c r="E304" s="16">
        <v>16200</v>
      </c>
      <c r="F304" s="16"/>
      <c r="G304" s="16">
        <v>18000</v>
      </c>
    </row>
    <row r="305" spans="1:7" x14ac:dyDescent="0.25">
      <c r="A305" t="s">
        <v>419</v>
      </c>
      <c r="C305" s="16">
        <v>51000</v>
      </c>
      <c r="D305" s="16">
        <v>60000</v>
      </c>
      <c r="E305" s="16">
        <v>75600</v>
      </c>
      <c r="F305" s="16"/>
      <c r="G305" s="16">
        <v>84000</v>
      </c>
    </row>
    <row r="306" spans="1:7" x14ac:dyDescent="0.25">
      <c r="A306" t="s">
        <v>420</v>
      </c>
      <c r="B306" t="s">
        <v>421</v>
      </c>
      <c r="C306" s="16">
        <v>850</v>
      </c>
      <c r="D306" s="16">
        <v>1000</v>
      </c>
      <c r="E306" s="16">
        <v>1080</v>
      </c>
      <c r="F306" s="16">
        <v>1080</v>
      </c>
      <c r="G306" s="16">
        <v>1200</v>
      </c>
    </row>
    <row r="307" spans="1:7" x14ac:dyDescent="0.25">
      <c r="A307" t="s">
        <v>422</v>
      </c>
      <c r="C307" s="16">
        <v>680</v>
      </c>
      <c r="D307" s="16">
        <v>800</v>
      </c>
      <c r="E307" s="16">
        <v>865</v>
      </c>
      <c r="F307" s="16">
        <v>865</v>
      </c>
      <c r="G307" s="16">
        <v>960</v>
      </c>
    </row>
    <row r="308" spans="1:7" x14ac:dyDescent="0.25">
      <c r="A308" t="s">
        <v>423</v>
      </c>
      <c r="C308" s="16">
        <v>510</v>
      </c>
      <c r="D308" s="16">
        <v>600</v>
      </c>
      <c r="E308" s="16">
        <v>650</v>
      </c>
      <c r="F308" s="16">
        <v>650</v>
      </c>
      <c r="G308" s="16">
        <v>720</v>
      </c>
    </row>
    <row r="309" spans="1:7" x14ac:dyDescent="0.25">
      <c r="A309" t="s">
        <v>424</v>
      </c>
      <c r="C309" s="16">
        <v>1955</v>
      </c>
      <c r="D309" s="16">
        <v>2300</v>
      </c>
      <c r="E309" s="16">
        <v>2485</v>
      </c>
      <c r="F309" s="16">
        <v>2485</v>
      </c>
      <c r="G309" s="16">
        <v>2760</v>
      </c>
    </row>
    <row r="310" spans="1:7" x14ac:dyDescent="0.25">
      <c r="A310" t="s">
        <v>425</v>
      </c>
      <c r="C310" s="16">
        <v>8075</v>
      </c>
      <c r="D310" s="16">
        <v>9500</v>
      </c>
      <c r="E310" s="16">
        <v>10260</v>
      </c>
      <c r="F310" s="16">
        <v>10260</v>
      </c>
      <c r="G310" s="16">
        <v>11400</v>
      </c>
    </row>
    <row r="311" spans="1:7" x14ac:dyDescent="0.25">
      <c r="A311" t="s">
        <v>426</v>
      </c>
      <c r="C311" s="16">
        <v>106250</v>
      </c>
      <c r="D311" s="16">
        <v>125000</v>
      </c>
      <c r="E311" s="16">
        <v>135000</v>
      </c>
      <c r="F311" s="16">
        <v>135000</v>
      </c>
      <c r="G311" s="16">
        <v>150000</v>
      </c>
    </row>
    <row r="312" spans="1:7" x14ac:dyDescent="0.25">
      <c r="A312" t="s">
        <v>427</v>
      </c>
      <c r="C312" s="16">
        <v>510</v>
      </c>
      <c r="D312" s="16">
        <v>600</v>
      </c>
      <c r="E312" s="16">
        <v>650</v>
      </c>
      <c r="F312" s="16">
        <v>650</v>
      </c>
      <c r="G312" s="16">
        <v>720</v>
      </c>
    </row>
    <row r="313" spans="1:7" x14ac:dyDescent="0.25">
      <c r="A313" t="s">
        <v>428</v>
      </c>
      <c r="C313" s="16">
        <v>680</v>
      </c>
      <c r="D313" s="16">
        <v>800</v>
      </c>
      <c r="E313" s="16">
        <v>865</v>
      </c>
      <c r="F313" s="16">
        <v>865</v>
      </c>
      <c r="G313" s="16">
        <v>960</v>
      </c>
    </row>
    <row r="314" spans="1:7" x14ac:dyDescent="0.25">
      <c r="A314" t="s">
        <v>429</v>
      </c>
      <c r="C314" s="16">
        <v>2125</v>
      </c>
      <c r="D314" s="16">
        <v>2500</v>
      </c>
      <c r="E314" s="16">
        <v>2700</v>
      </c>
      <c r="F314" s="16">
        <v>2700</v>
      </c>
      <c r="G314" s="16">
        <v>3000</v>
      </c>
    </row>
    <row r="315" spans="1:7" x14ac:dyDescent="0.25">
      <c r="A315" t="s">
        <v>430</v>
      </c>
      <c r="C315" s="16">
        <v>4250</v>
      </c>
      <c r="D315" s="16">
        <v>5000</v>
      </c>
      <c r="E315" s="16">
        <v>5400</v>
      </c>
      <c r="F315" s="16">
        <v>5400</v>
      </c>
      <c r="G315" s="16">
        <v>6000</v>
      </c>
    </row>
    <row r="316" spans="1:7" x14ac:dyDescent="0.25">
      <c r="A316" t="s">
        <v>431</v>
      </c>
      <c r="C316" s="16">
        <v>34000</v>
      </c>
      <c r="D316" s="16">
        <v>40000</v>
      </c>
      <c r="E316" s="16">
        <v>43200</v>
      </c>
      <c r="F316" s="16">
        <v>43200</v>
      </c>
      <c r="G316" s="16">
        <v>50400</v>
      </c>
    </row>
    <row r="317" spans="1:7" x14ac:dyDescent="0.25">
      <c r="A317" t="s">
        <v>432</v>
      </c>
      <c r="C317" s="16">
        <v>125</v>
      </c>
      <c r="D317" s="16">
        <v>150</v>
      </c>
      <c r="E317" s="16">
        <v>160</v>
      </c>
      <c r="F317" s="16">
        <v>160</v>
      </c>
      <c r="G317" s="16">
        <v>180</v>
      </c>
    </row>
    <row r="318" spans="1:7" x14ac:dyDescent="0.25">
      <c r="A318" t="s">
        <v>433</v>
      </c>
      <c r="C318" s="16">
        <v>340</v>
      </c>
      <c r="D318" s="16">
        <v>400</v>
      </c>
      <c r="E318" s="16">
        <v>430</v>
      </c>
      <c r="F318" s="16">
        <v>430</v>
      </c>
      <c r="G318" s="16">
        <v>480</v>
      </c>
    </row>
    <row r="319" spans="1:7" x14ac:dyDescent="0.25">
      <c r="A319" t="s">
        <v>434</v>
      </c>
      <c r="C319" s="16">
        <v>1190</v>
      </c>
      <c r="D319" s="16">
        <v>1400</v>
      </c>
      <c r="E319" s="16">
        <v>1510</v>
      </c>
      <c r="F319" s="16">
        <v>1510</v>
      </c>
      <c r="G319" s="16">
        <v>1560</v>
      </c>
    </row>
    <row r="320" spans="1:7" x14ac:dyDescent="0.25">
      <c r="A320" t="s">
        <v>435</v>
      </c>
      <c r="C320" s="16">
        <v>2975</v>
      </c>
      <c r="D320" s="16">
        <v>3500</v>
      </c>
      <c r="E320" s="16">
        <v>3780</v>
      </c>
      <c r="F320" s="16">
        <v>3780</v>
      </c>
      <c r="G320" s="16">
        <v>4320</v>
      </c>
    </row>
    <row r="321" spans="1:7" x14ac:dyDescent="0.25">
      <c r="A321" t="s">
        <v>436</v>
      </c>
      <c r="C321" s="16">
        <v>25500</v>
      </c>
      <c r="D321" s="16">
        <v>30000</v>
      </c>
      <c r="E321" s="16">
        <v>32400</v>
      </c>
      <c r="F321" s="16">
        <v>32400</v>
      </c>
      <c r="G321" s="16">
        <v>36000</v>
      </c>
    </row>
    <row r="322" spans="1:7" x14ac:dyDescent="0.25">
      <c r="A322" t="s">
        <v>437</v>
      </c>
      <c r="B322" t="s">
        <v>438</v>
      </c>
      <c r="C322" s="16">
        <v>1020</v>
      </c>
      <c r="D322" s="16">
        <v>1200</v>
      </c>
      <c r="E322" s="16">
        <v>1295</v>
      </c>
      <c r="F322" s="16">
        <v>1295</v>
      </c>
      <c r="G322" s="16">
        <v>1440</v>
      </c>
    </row>
    <row r="323" spans="1:7" x14ac:dyDescent="0.25">
      <c r="A323" t="s">
        <v>439</v>
      </c>
      <c r="C323" s="16">
        <v>340</v>
      </c>
      <c r="D323" s="16">
        <v>400</v>
      </c>
      <c r="E323" s="16">
        <v>430</v>
      </c>
      <c r="F323" s="16">
        <v>430</v>
      </c>
      <c r="G323" s="16">
        <v>480</v>
      </c>
    </row>
    <row r="324" spans="1:7" x14ac:dyDescent="0.25">
      <c r="A324" t="s">
        <v>440</v>
      </c>
      <c r="C324" s="16">
        <v>1275</v>
      </c>
      <c r="D324" s="16">
        <v>1500</v>
      </c>
      <c r="E324" s="16">
        <v>1620</v>
      </c>
      <c r="F324" s="16">
        <v>1620</v>
      </c>
      <c r="G324" s="16">
        <v>1800</v>
      </c>
    </row>
    <row r="325" spans="1:7" x14ac:dyDescent="0.25">
      <c r="A325" t="s">
        <v>441</v>
      </c>
      <c r="C325" s="16">
        <v>680</v>
      </c>
      <c r="D325" s="16">
        <v>800</v>
      </c>
      <c r="E325" s="16">
        <v>865</v>
      </c>
      <c r="F325" s="16">
        <v>865</v>
      </c>
      <c r="G325" s="16">
        <v>960</v>
      </c>
    </row>
    <row r="326" spans="1:7" x14ac:dyDescent="0.25">
      <c r="A326" t="s">
        <v>442</v>
      </c>
      <c r="C326" s="16">
        <v>2125</v>
      </c>
      <c r="D326" s="16">
        <v>2500</v>
      </c>
      <c r="E326" s="16">
        <v>2700</v>
      </c>
      <c r="F326" s="16">
        <v>2700</v>
      </c>
      <c r="G326" s="16">
        <v>3000</v>
      </c>
    </row>
    <row r="327" spans="1:7" x14ac:dyDescent="0.25">
      <c r="A327" t="s">
        <v>443</v>
      </c>
      <c r="C327" s="16">
        <v>21250</v>
      </c>
      <c r="D327" s="16">
        <v>25000</v>
      </c>
      <c r="E327" s="16">
        <v>27000</v>
      </c>
      <c r="F327" s="16">
        <v>27000</v>
      </c>
      <c r="G327" s="16">
        <v>30000</v>
      </c>
    </row>
    <row r="328" spans="1:7" x14ac:dyDescent="0.25">
      <c r="A328" t="s">
        <v>444</v>
      </c>
      <c r="C328" s="16">
        <v>210</v>
      </c>
      <c r="D328" s="16">
        <v>250</v>
      </c>
      <c r="E328" s="16">
        <v>270</v>
      </c>
      <c r="F328" s="16">
        <v>270</v>
      </c>
      <c r="G328" s="16">
        <v>300</v>
      </c>
    </row>
    <row r="329" spans="1:7" x14ac:dyDescent="0.25">
      <c r="A329" t="s">
        <v>445</v>
      </c>
      <c r="C329" s="16">
        <v>1700</v>
      </c>
      <c r="D329" s="16">
        <v>2000</v>
      </c>
      <c r="E329" s="16">
        <v>2160</v>
      </c>
      <c r="F329" s="16">
        <v>2160</v>
      </c>
      <c r="G329" s="16">
        <v>2400</v>
      </c>
    </row>
    <row r="330" spans="1:7" x14ac:dyDescent="0.25">
      <c r="A330" t="s">
        <v>446</v>
      </c>
      <c r="C330" s="16">
        <v>6375</v>
      </c>
      <c r="D330" s="16">
        <v>7500</v>
      </c>
      <c r="E330" s="16">
        <v>8100</v>
      </c>
      <c r="F330" s="16">
        <v>8100</v>
      </c>
      <c r="G330" s="16">
        <v>9000</v>
      </c>
    </row>
    <row r="331" spans="1:7" x14ac:dyDescent="0.25">
      <c r="A331" t="s">
        <v>447</v>
      </c>
      <c r="C331" s="16">
        <v>17000</v>
      </c>
      <c r="D331" s="16">
        <v>20000</v>
      </c>
      <c r="E331" s="16">
        <v>21600</v>
      </c>
      <c r="F331" s="16">
        <v>21600</v>
      </c>
      <c r="G331" s="16">
        <v>24000</v>
      </c>
    </row>
    <row r="332" spans="1:7" x14ac:dyDescent="0.25">
      <c r="A332" t="s">
        <v>448</v>
      </c>
      <c r="C332" s="16">
        <v>34000</v>
      </c>
      <c r="D332" s="16">
        <v>40000</v>
      </c>
      <c r="E332" s="16">
        <v>43200</v>
      </c>
      <c r="F332" s="16">
        <v>43200</v>
      </c>
      <c r="G332" s="16">
        <v>48000</v>
      </c>
    </row>
    <row r="333" spans="1:7" x14ac:dyDescent="0.25">
      <c r="A333" t="s">
        <v>449</v>
      </c>
      <c r="C333" s="16">
        <v>425</v>
      </c>
      <c r="D333" s="16">
        <v>500</v>
      </c>
      <c r="E333" s="16">
        <v>540</v>
      </c>
      <c r="F333" s="16">
        <v>540</v>
      </c>
      <c r="G333" s="16">
        <v>600</v>
      </c>
    </row>
    <row r="334" spans="1:7" x14ac:dyDescent="0.25">
      <c r="A334" t="s">
        <v>450</v>
      </c>
      <c r="C334" s="16">
        <v>425</v>
      </c>
      <c r="D334" s="16">
        <v>500</v>
      </c>
      <c r="E334" s="16">
        <v>540</v>
      </c>
      <c r="F334" s="16">
        <v>540</v>
      </c>
      <c r="G334" s="16">
        <v>600</v>
      </c>
    </row>
    <row r="335" spans="1:7" x14ac:dyDescent="0.25">
      <c r="A335" t="s">
        <v>451</v>
      </c>
      <c r="C335" s="16">
        <v>8500</v>
      </c>
      <c r="D335" s="16">
        <v>10000</v>
      </c>
      <c r="E335" s="16">
        <v>10800</v>
      </c>
      <c r="F335" s="16">
        <v>10800</v>
      </c>
      <c r="G335" s="16">
        <v>12000</v>
      </c>
    </row>
    <row r="336" spans="1:7" x14ac:dyDescent="0.25">
      <c r="A336" t="s">
        <v>452</v>
      </c>
      <c r="C336" s="16">
        <v>2550</v>
      </c>
      <c r="D336" s="16">
        <v>3000</v>
      </c>
      <c r="E336" s="16">
        <v>3240</v>
      </c>
      <c r="F336" s="16">
        <v>3240</v>
      </c>
      <c r="G336" s="16">
        <v>3600</v>
      </c>
    </row>
    <row r="337" spans="1:7" x14ac:dyDescent="0.25">
      <c r="A337" t="s">
        <v>453</v>
      </c>
      <c r="C337" s="16">
        <v>4250</v>
      </c>
      <c r="D337" s="16">
        <v>5000</v>
      </c>
      <c r="E337" s="16">
        <v>5400</v>
      </c>
      <c r="F337" s="16">
        <v>5400</v>
      </c>
      <c r="G337" s="16">
        <v>6000</v>
      </c>
    </row>
    <row r="338" spans="1:7" x14ac:dyDescent="0.25">
      <c r="A338" t="s">
        <v>454</v>
      </c>
      <c r="B338" t="s">
        <v>455</v>
      </c>
      <c r="C338" s="16">
        <v>340</v>
      </c>
      <c r="D338" s="16">
        <v>400</v>
      </c>
      <c r="E338" s="16">
        <v>430</v>
      </c>
      <c r="F338" s="16">
        <v>430</v>
      </c>
      <c r="G338" s="16">
        <v>420</v>
      </c>
    </row>
    <row r="339" spans="1:7" x14ac:dyDescent="0.25">
      <c r="A339" t="s">
        <v>456</v>
      </c>
      <c r="C339" s="16">
        <v>425</v>
      </c>
      <c r="D339" s="16">
        <v>500</v>
      </c>
      <c r="E339" s="16">
        <v>540</v>
      </c>
      <c r="F339" s="16">
        <v>540</v>
      </c>
      <c r="G339" s="16">
        <v>600</v>
      </c>
    </row>
    <row r="340" spans="1:7" x14ac:dyDescent="0.25">
      <c r="A340" t="s">
        <v>457</v>
      </c>
      <c r="C340" s="16">
        <v>340</v>
      </c>
      <c r="D340" s="16">
        <v>400</v>
      </c>
      <c r="E340" s="16">
        <v>430</v>
      </c>
      <c r="F340" s="16">
        <v>430</v>
      </c>
      <c r="G340" s="16">
        <v>480</v>
      </c>
    </row>
    <row r="341" spans="1:7" x14ac:dyDescent="0.25">
      <c r="A341" t="s">
        <v>458</v>
      </c>
      <c r="C341" s="16">
        <v>490</v>
      </c>
      <c r="D341" s="16">
        <v>575</v>
      </c>
      <c r="E341" s="16">
        <v>620</v>
      </c>
      <c r="F341" s="16">
        <v>620</v>
      </c>
      <c r="G341" s="16">
        <v>690</v>
      </c>
    </row>
    <row r="342" spans="1:7" x14ac:dyDescent="0.25">
      <c r="A342" t="s">
        <v>459</v>
      </c>
      <c r="C342" s="16">
        <v>2125</v>
      </c>
      <c r="D342" s="16">
        <v>2500</v>
      </c>
      <c r="E342" s="16">
        <v>2700</v>
      </c>
      <c r="F342" s="16">
        <v>2700</v>
      </c>
      <c r="G342" s="16">
        <v>3000</v>
      </c>
    </row>
    <row r="343" spans="1:7" x14ac:dyDescent="0.25">
      <c r="A343" t="s">
        <v>460</v>
      </c>
      <c r="C343" s="16">
        <v>27200</v>
      </c>
      <c r="D343" s="16">
        <v>32000</v>
      </c>
      <c r="E343" s="16">
        <v>34560</v>
      </c>
      <c r="F343" s="16">
        <v>34560</v>
      </c>
      <c r="G343" s="16">
        <v>38400</v>
      </c>
    </row>
    <row r="344" spans="1:7" x14ac:dyDescent="0.25">
      <c r="A344" t="s">
        <v>461</v>
      </c>
      <c r="C344" s="16">
        <v>210</v>
      </c>
      <c r="D344" s="16">
        <v>250</v>
      </c>
      <c r="E344" s="16">
        <v>270</v>
      </c>
      <c r="F344" s="16">
        <v>270</v>
      </c>
      <c r="G344" s="16">
        <v>300</v>
      </c>
    </row>
    <row r="345" spans="1:7" x14ac:dyDescent="0.25">
      <c r="A345" t="s">
        <v>462</v>
      </c>
      <c r="C345" s="16">
        <v>295</v>
      </c>
      <c r="D345" s="16">
        <v>350</v>
      </c>
      <c r="E345" s="16">
        <v>380</v>
      </c>
      <c r="F345" s="16">
        <v>380</v>
      </c>
      <c r="G345" s="16">
        <v>420</v>
      </c>
    </row>
    <row r="346" spans="1:7" x14ac:dyDescent="0.25">
      <c r="A346" t="s">
        <v>463</v>
      </c>
      <c r="C346" s="16">
        <v>720</v>
      </c>
      <c r="D346" s="16">
        <v>850</v>
      </c>
      <c r="E346" s="16">
        <v>920</v>
      </c>
      <c r="F346" s="16">
        <v>920</v>
      </c>
      <c r="G346" s="16">
        <v>1080</v>
      </c>
    </row>
    <row r="347" spans="1:7" x14ac:dyDescent="0.25">
      <c r="A347" t="s">
        <v>464</v>
      </c>
      <c r="C347" s="16">
        <v>11475</v>
      </c>
      <c r="D347" s="16">
        <v>13500</v>
      </c>
      <c r="E347" s="16">
        <v>14580</v>
      </c>
      <c r="F347" s="16">
        <v>14580</v>
      </c>
      <c r="G347" s="16">
        <v>16200</v>
      </c>
    </row>
    <row r="348" spans="1:7" x14ac:dyDescent="0.25">
      <c r="A348" t="s">
        <v>465</v>
      </c>
      <c r="C348" s="16">
        <v>61200</v>
      </c>
      <c r="D348" s="16">
        <v>72000</v>
      </c>
      <c r="E348" s="16">
        <v>77760</v>
      </c>
      <c r="F348" s="16">
        <v>77760</v>
      </c>
      <c r="G348" s="16">
        <v>86400</v>
      </c>
    </row>
    <row r="349" spans="1:7" x14ac:dyDescent="0.25">
      <c r="A349" t="s">
        <v>466</v>
      </c>
      <c r="C349" s="16">
        <v>380</v>
      </c>
      <c r="D349" s="16">
        <v>450</v>
      </c>
      <c r="E349" s="16">
        <v>485</v>
      </c>
      <c r="F349" s="16">
        <v>485</v>
      </c>
      <c r="G349" s="16">
        <v>540</v>
      </c>
    </row>
    <row r="350" spans="1:7" x14ac:dyDescent="0.25">
      <c r="A350" t="s">
        <v>467</v>
      </c>
      <c r="C350" s="16">
        <v>185</v>
      </c>
      <c r="D350" s="16">
        <v>220</v>
      </c>
      <c r="E350" s="16">
        <v>235</v>
      </c>
      <c r="F350" s="16">
        <v>235</v>
      </c>
      <c r="G350" s="16">
        <v>265</v>
      </c>
    </row>
    <row r="351" spans="1:7" x14ac:dyDescent="0.25">
      <c r="A351" t="s">
        <v>468</v>
      </c>
      <c r="C351" s="16">
        <v>425</v>
      </c>
      <c r="D351" s="16">
        <v>500</v>
      </c>
      <c r="E351" s="16">
        <v>540</v>
      </c>
      <c r="F351" s="16">
        <v>540</v>
      </c>
      <c r="G351" s="16">
        <v>540</v>
      </c>
    </row>
    <row r="352" spans="1:7" x14ac:dyDescent="0.25">
      <c r="A352" t="s">
        <v>469</v>
      </c>
      <c r="C352" s="16">
        <v>2975</v>
      </c>
      <c r="D352" s="16">
        <v>3500</v>
      </c>
      <c r="E352" s="16">
        <v>3780</v>
      </c>
      <c r="F352" s="16">
        <v>3780</v>
      </c>
      <c r="G352" s="16">
        <v>4320</v>
      </c>
    </row>
    <row r="353" spans="1:7" x14ac:dyDescent="0.25">
      <c r="A353" t="s">
        <v>470</v>
      </c>
      <c r="C353" s="16">
        <v>40800</v>
      </c>
      <c r="D353" s="16">
        <v>48000</v>
      </c>
      <c r="E353" s="16">
        <v>51840</v>
      </c>
      <c r="F353" s="16">
        <v>51840</v>
      </c>
      <c r="G353" s="16">
        <v>57600</v>
      </c>
    </row>
    <row r="354" spans="1:7" x14ac:dyDescent="0.25">
      <c r="A354" t="s">
        <v>471</v>
      </c>
      <c r="B354" t="s">
        <v>472</v>
      </c>
      <c r="C354" s="16">
        <v>210</v>
      </c>
      <c r="D354" s="16">
        <v>250</v>
      </c>
      <c r="E354" s="16">
        <v>270</v>
      </c>
      <c r="F354" s="16">
        <v>270</v>
      </c>
      <c r="G354" s="16">
        <v>300</v>
      </c>
    </row>
    <row r="355" spans="1:7" x14ac:dyDescent="0.25">
      <c r="A355" t="s">
        <v>473</v>
      </c>
      <c r="B355" t="s">
        <v>474</v>
      </c>
      <c r="C355" s="16">
        <v>145</v>
      </c>
      <c r="D355" s="16">
        <v>170</v>
      </c>
      <c r="E355" s="16">
        <v>185</v>
      </c>
      <c r="F355" s="16">
        <v>185</v>
      </c>
      <c r="G355" s="16">
        <v>190</v>
      </c>
    </row>
    <row r="356" spans="1:7" x14ac:dyDescent="0.25">
      <c r="A356" t="s">
        <v>475</v>
      </c>
      <c r="B356" t="s">
        <v>476</v>
      </c>
      <c r="C356" s="16">
        <v>720</v>
      </c>
      <c r="D356" s="16">
        <v>850</v>
      </c>
      <c r="E356" s="16">
        <v>920</v>
      </c>
      <c r="F356" s="16">
        <v>920</v>
      </c>
      <c r="G356" s="16">
        <v>970</v>
      </c>
    </row>
    <row r="357" spans="1:7" x14ac:dyDescent="0.25">
      <c r="A357" t="s">
        <v>477</v>
      </c>
      <c r="B357" t="s">
        <v>478</v>
      </c>
      <c r="C357" s="16">
        <v>1765</v>
      </c>
      <c r="D357" s="16">
        <v>2075</v>
      </c>
      <c r="E357" s="16">
        <v>2240</v>
      </c>
      <c r="F357" s="16">
        <v>2240</v>
      </c>
      <c r="G357" s="16">
        <v>2410</v>
      </c>
    </row>
    <row r="358" spans="1:7" x14ac:dyDescent="0.25">
      <c r="A358" t="s">
        <v>479</v>
      </c>
      <c r="B358" t="s">
        <v>480</v>
      </c>
      <c r="C358" s="16">
        <v>10625</v>
      </c>
      <c r="D358" s="16">
        <v>12500</v>
      </c>
      <c r="E358" s="16">
        <v>13500</v>
      </c>
      <c r="F358" s="16">
        <v>13500</v>
      </c>
      <c r="G358" s="16">
        <v>15000</v>
      </c>
    </row>
    <row r="359" spans="1:7" x14ac:dyDescent="0.25">
      <c r="A359" t="s">
        <v>481</v>
      </c>
      <c r="B359" t="s">
        <v>482</v>
      </c>
      <c r="C359" s="16">
        <v>38250</v>
      </c>
      <c r="D359" s="16">
        <v>45000</v>
      </c>
      <c r="E359" s="16">
        <v>48600</v>
      </c>
      <c r="F359" s="16">
        <v>48600</v>
      </c>
      <c r="G359" s="16">
        <v>54000</v>
      </c>
    </row>
    <row r="360" spans="1:7" x14ac:dyDescent="0.25">
      <c r="A360" t="s">
        <v>483</v>
      </c>
      <c r="B360" t="s">
        <v>484</v>
      </c>
      <c r="C360" s="16">
        <v>165</v>
      </c>
      <c r="D360" s="16">
        <v>195</v>
      </c>
      <c r="E360" s="16">
        <v>210</v>
      </c>
      <c r="F360" s="16">
        <v>210</v>
      </c>
      <c r="G360" s="16">
        <v>210</v>
      </c>
    </row>
    <row r="361" spans="1:7" x14ac:dyDescent="0.25">
      <c r="A361" t="s">
        <v>485</v>
      </c>
      <c r="B361" t="s">
        <v>486</v>
      </c>
      <c r="C361" s="16">
        <v>755</v>
      </c>
      <c r="D361" s="16">
        <v>890</v>
      </c>
      <c r="E361" s="16">
        <v>960</v>
      </c>
      <c r="F361" s="16">
        <v>960</v>
      </c>
      <c r="G361" s="16">
        <v>995</v>
      </c>
    </row>
    <row r="362" spans="1:7" x14ac:dyDescent="0.25">
      <c r="A362" t="s">
        <v>487</v>
      </c>
      <c r="B362" t="s">
        <v>488</v>
      </c>
      <c r="C362" s="16">
        <v>1845</v>
      </c>
      <c r="D362" s="16">
        <v>2170</v>
      </c>
      <c r="E362" s="16">
        <v>2345</v>
      </c>
      <c r="F362" s="16">
        <v>2345</v>
      </c>
      <c r="G362" s="16">
        <v>2480</v>
      </c>
    </row>
    <row r="363" spans="1:7" x14ac:dyDescent="0.25">
      <c r="A363" t="s">
        <v>489</v>
      </c>
      <c r="B363" t="s">
        <v>490</v>
      </c>
      <c r="C363" s="16">
        <v>8075</v>
      </c>
      <c r="D363" s="16">
        <v>9500</v>
      </c>
      <c r="E363" s="16">
        <v>10260</v>
      </c>
      <c r="F363" s="16">
        <v>10260</v>
      </c>
      <c r="G363" s="16">
        <v>11400</v>
      </c>
    </row>
    <row r="364" spans="1:7" x14ac:dyDescent="0.25">
      <c r="A364" t="s">
        <v>491</v>
      </c>
      <c r="B364" t="s">
        <v>492</v>
      </c>
      <c r="C364" s="16">
        <v>51000</v>
      </c>
      <c r="D364" s="16">
        <v>60000</v>
      </c>
      <c r="E364" s="16">
        <v>64800</v>
      </c>
      <c r="F364" s="16">
        <v>64800</v>
      </c>
      <c r="G364" s="16">
        <v>72000</v>
      </c>
    </row>
    <row r="365" spans="1:7" x14ac:dyDescent="0.25">
      <c r="A365" t="s">
        <v>493</v>
      </c>
      <c r="B365" t="s">
        <v>494</v>
      </c>
      <c r="C365" s="16">
        <v>180</v>
      </c>
      <c r="D365" s="16">
        <v>210</v>
      </c>
      <c r="E365" s="16">
        <v>225</v>
      </c>
      <c r="F365" s="16">
        <v>225</v>
      </c>
      <c r="G365" s="16">
        <v>230</v>
      </c>
    </row>
    <row r="366" spans="1:7" x14ac:dyDescent="0.25">
      <c r="A366" t="s">
        <v>495</v>
      </c>
      <c r="B366" t="s">
        <v>496</v>
      </c>
      <c r="C366" s="16">
        <v>800</v>
      </c>
      <c r="D366" s="16">
        <v>940</v>
      </c>
      <c r="E366" s="16">
        <v>1015</v>
      </c>
      <c r="F366" s="16">
        <v>1015</v>
      </c>
      <c r="G366" s="16">
        <v>1030</v>
      </c>
    </row>
    <row r="367" spans="1:7" x14ac:dyDescent="0.25">
      <c r="A367" t="s">
        <v>497</v>
      </c>
      <c r="B367" t="s">
        <v>498</v>
      </c>
      <c r="C367" s="16">
        <v>2675</v>
      </c>
      <c r="D367" s="16">
        <v>3150</v>
      </c>
      <c r="E367" s="16">
        <v>3400</v>
      </c>
      <c r="F367" s="16">
        <v>3400</v>
      </c>
      <c r="G367" s="16">
        <v>2545</v>
      </c>
    </row>
    <row r="368" spans="1:7" x14ac:dyDescent="0.25">
      <c r="A368" t="s">
        <v>499</v>
      </c>
      <c r="B368" t="s">
        <v>500</v>
      </c>
      <c r="C368" s="16">
        <v>6630</v>
      </c>
      <c r="D368" s="16">
        <v>7800</v>
      </c>
      <c r="E368" s="16">
        <v>8425</v>
      </c>
      <c r="F368" s="16">
        <v>8425</v>
      </c>
      <c r="G368" s="16">
        <v>9360</v>
      </c>
    </row>
    <row r="369" spans="1:7" x14ac:dyDescent="0.25">
      <c r="A369" t="s">
        <v>501</v>
      </c>
      <c r="B369" t="s">
        <v>502</v>
      </c>
      <c r="C369" s="16">
        <v>25500</v>
      </c>
      <c r="D369" s="16">
        <v>30000</v>
      </c>
      <c r="E369" s="16">
        <v>32400</v>
      </c>
      <c r="F369" s="16">
        <v>32400</v>
      </c>
      <c r="G369" s="16">
        <v>36000</v>
      </c>
    </row>
    <row r="370" spans="1:7" x14ac:dyDescent="0.25">
      <c r="A370" t="s">
        <v>655</v>
      </c>
      <c r="C370" s="16">
        <v>460</v>
      </c>
      <c r="D370" s="16">
        <v>540</v>
      </c>
      <c r="E370" s="16">
        <v>585</v>
      </c>
      <c r="F370" s="16">
        <v>585</v>
      </c>
      <c r="G370" s="16">
        <v>650</v>
      </c>
    </row>
    <row r="371" spans="1:7" x14ac:dyDescent="0.25">
      <c r="A371" t="s">
        <v>724</v>
      </c>
      <c r="D371" s="18">
        <v>725</v>
      </c>
    </row>
    <row r="372" spans="1:7" x14ac:dyDescent="0.25">
      <c r="A372" t="s">
        <v>725</v>
      </c>
      <c r="D372" s="18">
        <v>700</v>
      </c>
    </row>
    <row r="373" spans="1:7" x14ac:dyDescent="0.25">
      <c r="A373" t="s">
        <v>726</v>
      </c>
      <c r="D373" s="18">
        <v>650</v>
      </c>
    </row>
    <row r="374" spans="1:7" x14ac:dyDescent="0.25">
      <c r="A374" t="s">
        <v>727</v>
      </c>
    </row>
    <row r="375" spans="1:7" x14ac:dyDescent="0.25">
      <c r="A375" t="s">
        <v>728</v>
      </c>
      <c r="D375" s="18"/>
    </row>
    <row r="376" spans="1:7" x14ac:dyDescent="0.25">
      <c r="A376" t="s">
        <v>729</v>
      </c>
      <c r="D376" s="18">
        <v>1200</v>
      </c>
    </row>
    <row r="377" spans="1:7" x14ac:dyDescent="0.25">
      <c r="A377" t="s">
        <v>730</v>
      </c>
      <c r="D377" s="18">
        <v>800</v>
      </c>
    </row>
    <row r="378" spans="1:7" x14ac:dyDescent="0.25">
      <c r="A378" t="s">
        <v>731</v>
      </c>
      <c r="D378" s="18"/>
    </row>
    <row r="379" spans="1:7" x14ac:dyDescent="0.25">
      <c r="A379" t="s">
        <v>732</v>
      </c>
      <c r="D379" s="18">
        <v>1000</v>
      </c>
    </row>
    <row r="380" spans="1:7" x14ac:dyDescent="0.25">
      <c r="A380" t="s">
        <v>733</v>
      </c>
      <c r="D380" s="18">
        <v>850</v>
      </c>
    </row>
    <row r="381" spans="1:7" x14ac:dyDescent="0.25">
      <c r="A381" t="s">
        <v>734</v>
      </c>
      <c r="D381" s="18"/>
    </row>
    <row r="382" spans="1:7" x14ac:dyDescent="0.25">
      <c r="A382" t="s">
        <v>735</v>
      </c>
      <c r="D382" s="18">
        <v>900</v>
      </c>
    </row>
    <row r="383" spans="1:7" x14ac:dyDescent="0.25">
      <c r="A383" t="s">
        <v>736</v>
      </c>
    </row>
    <row r="384" spans="1:7" x14ac:dyDescent="0.25">
      <c r="A384" t="s">
        <v>737</v>
      </c>
      <c r="D384" s="18">
        <v>750</v>
      </c>
    </row>
    <row r="385" spans="1:1" x14ac:dyDescent="0.25">
      <c r="A385" t="s">
        <v>738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B46"/>
  <sheetViews>
    <sheetView workbookViewId="0">
      <pane ySplit="1" topLeftCell="A2" activePane="bottomLeft" state="frozen"/>
      <selection pane="bottomLeft" activeCell="A22" sqref="A22"/>
    </sheetView>
  </sheetViews>
  <sheetFormatPr defaultRowHeight="15" x14ac:dyDescent="0.25"/>
  <cols>
    <col min="1" max="1" width="24.28515625" bestFit="1" customWidth="1"/>
    <col min="2" max="2" width="10.42578125" bestFit="1" customWidth="1"/>
  </cols>
  <sheetData>
    <row r="1" spans="1:2" x14ac:dyDescent="0.25">
      <c r="A1" s="1" t="s">
        <v>503</v>
      </c>
      <c r="B1" s="1" t="s">
        <v>504</v>
      </c>
    </row>
    <row r="2" spans="1:2" x14ac:dyDescent="0.25">
      <c r="A2" t="s">
        <v>505</v>
      </c>
      <c r="B2" t="s">
        <v>506</v>
      </c>
    </row>
    <row r="3" spans="1:2" x14ac:dyDescent="0.25">
      <c r="A3" t="s">
        <v>507</v>
      </c>
      <c r="B3" t="s">
        <v>508</v>
      </c>
    </row>
    <row r="4" spans="1:2" x14ac:dyDescent="0.25">
      <c r="A4" t="s">
        <v>509</v>
      </c>
      <c r="B4" t="s">
        <v>510</v>
      </c>
    </row>
    <row r="5" spans="1:2" x14ac:dyDescent="0.25">
      <c r="A5" t="s">
        <v>511</v>
      </c>
      <c r="B5" t="s">
        <v>512</v>
      </c>
    </row>
    <row r="6" spans="1:2" x14ac:dyDescent="0.25">
      <c r="A6" t="s">
        <v>513</v>
      </c>
      <c r="B6" t="s">
        <v>514</v>
      </c>
    </row>
    <row r="7" spans="1:2" x14ac:dyDescent="0.25">
      <c r="A7" t="s">
        <v>515</v>
      </c>
      <c r="B7" t="s">
        <v>516</v>
      </c>
    </row>
    <row r="8" spans="1:2" x14ac:dyDescent="0.25">
      <c r="A8" t="s">
        <v>517</v>
      </c>
      <c r="B8" t="s">
        <v>518</v>
      </c>
    </row>
    <row r="9" spans="1:2" x14ac:dyDescent="0.25">
      <c r="A9" t="s">
        <v>519</v>
      </c>
      <c r="B9" t="s">
        <v>520</v>
      </c>
    </row>
    <row r="10" spans="1:2" x14ac:dyDescent="0.25">
      <c r="A10" t="s">
        <v>521</v>
      </c>
      <c r="B10" t="s">
        <v>522</v>
      </c>
    </row>
    <row r="11" spans="1:2" x14ac:dyDescent="0.25">
      <c r="A11" t="s">
        <v>523</v>
      </c>
      <c r="B11" t="s">
        <v>524</v>
      </c>
    </row>
    <row r="12" spans="1:2" x14ac:dyDescent="0.25">
      <c r="A12" t="s">
        <v>525</v>
      </c>
      <c r="B12" t="s">
        <v>526</v>
      </c>
    </row>
    <row r="13" spans="1:2" x14ac:dyDescent="0.25">
      <c r="A13" t="s">
        <v>527</v>
      </c>
      <c r="B13" t="s">
        <v>528</v>
      </c>
    </row>
    <row r="14" spans="1:2" x14ac:dyDescent="0.25">
      <c r="A14" t="s">
        <v>529</v>
      </c>
      <c r="B14" t="s">
        <v>530</v>
      </c>
    </row>
    <row r="15" spans="1:2" x14ac:dyDescent="0.25">
      <c r="A15" t="s">
        <v>531</v>
      </c>
      <c r="B15" t="s">
        <v>532</v>
      </c>
    </row>
    <row r="16" spans="1:2" x14ac:dyDescent="0.25">
      <c r="A16" t="s">
        <v>533</v>
      </c>
      <c r="B16" t="s">
        <v>534</v>
      </c>
    </row>
    <row r="17" spans="1:2" x14ac:dyDescent="0.25">
      <c r="A17" t="s">
        <v>535</v>
      </c>
      <c r="B17" t="s">
        <v>536</v>
      </c>
    </row>
    <row r="18" spans="1:2" x14ac:dyDescent="0.25">
      <c r="A18" t="s">
        <v>370</v>
      </c>
      <c r="B18" t="s">
        <v>537</v>
      </c>
    </row>
    <row r="19" spans="1:2" x14ac:dyDescent="0.25">
      <c r="A19" t="s">
        <v>387</v>
      </c>
      <c r="B19" t="s">
        <v>538</v>
      </c>
    </row>
    <row r="20" spans="1:2" x14ac:dyDescent="0.25">
      <c r="A20" t="s">
        <v>539</v>
      </c>
      <c r="B20" t="s">
        <v>540</v>
      </c>
    </row>
    <row r="21" spans="1:2" x14ac:dyDescent="0.25">
      <c r="A21" t="s">
        <v>541</v>
      </c>
      <c r="B21" t="s">
        <v>542</v>
      </c>
    </row>
    <row r="22" spans="1:2" x14ac:dyDescent="0.25">
      <c r="A22" t="s">
        <v>673</v>
      </c>
      <c r="B22" t="s">
        <v>543</v>
      </c>
    </row>
    <row r="23" spans="1:2" x14ac:dyDescent="0.25">
      <c r="A23" t="s">
        <v>544</v>
      </c>
      <c r="B23" t="s">
        <v>545</v>
      </c>
    </row>
    <row r="24" spans="1:2" x14ac:dyDescent="0.25">
      <c r="A24" t="s">
        <v>546</v>
      </c>
      <c r="B24" t="s">
        <v>547</v>
      </c>
    </row>
    <row r="25" spans="1:2" x14ac:dyDescent="0.25">
      <c r="A25" t="s">
        <v>549</v>
      </c>
      <c r="B25" t="s">
        <v>550</v>
      </c>
    </row>
    <row r="26" spans="1:2" x14ac:dyDescent="0.25">
      <c r="A26" t="s">
        <v>551</v>
      </c>
      <c r="B26" t="s">
        <v>552</v>
      </c>
    </row>
    <row r="27" spans="1:2" x14ac:dyDescent="0.25">
      <c r="A27" t="s">
        <v>553</v>
      </c>
      <c r="B27" t="s">
        <v>554</v>
      </c>
    </row>
    <row r="28" spans="1:2" x14ac:dyDescent="0.25">
      <c r="A28" t="s">
        <v>555</v>
      </c>
      <c r="B28" t="s">
        <v>556</v>
      </c>
    </row>
    <row r="29" spans="1:2" x14ac:dyDescent="0.25">
      <c r="A29" t="s">
        <v>557</v>
      </c>
      <c r="B29" t="s">
        <v>558</v>
      </c>
    </row>
    <row r="30" spans="1:2" x14ac:dyDescent="0.25">
      <c r="A30" t="s">
        <v>559</v>
      </c>
      <c r="B30" t="s">
        <v>560</v>
      </c>
    </row>
    <row r="31" spans="1:2" x14ac:dyDescent="0.25">
      <c r="A31" t="s">
        <v>561</v>
      </c>
      <c r="B31" t="s">
        <v>562</v>
      </c>
    </row>
    <row r="32" spans="1:2" x14ac:dyDescent="0.25">
      <c r="A32" t="s">
        <v>563</v>
      </c>
      <c r="B32" t="s">
        <v>564</v>
      </c>
    </row>
    <row r="33" spans="1:2" x14ac:dyDescent="0.25">
      <c r="A33" t="s">
        <v>565</v>
      </c>
      <c r="B33" t="s">
        <v>566</v>
      </c>
    </row>
    <row r="34" spans="1:2" x14ac:dyDescent="0.25">
      <c r="A34" t="s">
        <v>567</v>
      </c>
      <c r="B34">
        <v>1</v>
      </c>
    </row>
    <row r="35" spans="1:2" x14ac:dyDescent="0.25">
      <c r="A35" t="s">
        <v>568</v>
      </c>
      <c r="B35">
        <v>2</v>
      </c>
    </row>
    <row r="36" spans="1:2" x14ac:dyDescent="0.25">
      <c r="A36" t="s">
        <v>569</v>
      </c>
      <c r="B36">
        <v>3</v>
      </c>
    </row>
    <row r="37" spans="1:2" x14ac:dyDescent="0.25">
      <c r="A37" t="s">
        <v>570</v>
      </c>
      <c r="B37">
        <v>4</v>
      </c>
    </row>
    <row r="38" spans="1:2" x14ac:dyDescent="0.25">
      <c r="A38" t="s">
        <v>571</v>
      </c>
      <c r="B38">
        <v>5</v>
      </c>
    </row>
    <row r="39" spans="1:2" x14ac:dyDescent="0.25">
      <c r="A39" t="s">
        <v>572</v>
      </c>
      <c r="B39">
        <v>6</v>
      </c>
    </row>
    <row r="40" spans="1:2" x14ac:dyDescent="0.25">
      <c r="A40" t="s">
        <v>573</v>
      </c>
      <c r="B40">
        <v>7</v>
      </c>
    </row>
    <row r="41" spans="1:2" x14ac:dyDescent="0.25">
      <c r="A41" t="s">
        <v>574</v>
      </c>
      <c r="B41">
        <v>8</v>
      </c>
    </row>
    <row r="42" spans="1:2" x14ac:dyDescent="0.25">
      <c r="A42" t="s">
        <v>575</v>
      </c>
      <c r="B42">
        <v>9</v>
      </c>
    </row>
    <row r="43" spans="1:2" x14ac:dyDescent="0.25">
      <c r="A43" t="s">
        <v>576</v>
      </c>
      <c r="B43">
        <v>0</v>
      </c>
    </row>
    <row r="44" spans="1:2" x14ac:dyDescent="0.25">
      <c r="A44" t="s">
        <v>577</v>
      </c>
      <c r="B44" t="s">
        <v>578</v>
      </c>
    </row>
    <row r="45" spans="1:2" x14ac:dyDescent="0.25">
      <c r="A45" t="s">
        <v>579</v>
      </c>
      <c r="B45" t="s">
        <v>580</v>
      </c>
    </row>
    <row r="46" spans="1:2" x14ac:dyDescent="0.25">
      <c r="A46" t="s">
        <v>654</v>
      </c>
      <c r="B46" t="s">
        <v>548</v>
      </c>
    </row>
  </sheetData>
  <pageMargins left="0.7" right="0.7" top="0.75" bottom="0.75" header="0.3" footer="0.3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C70"/>
  <sheetViews>
    <sheetView workbookViewId="0">
      <pane ySplit="1" topLeftCell="A2" activePane="bottomLeft" state="frozen"/>
      <selection pane="bottomLeft" activeCell="B25" sqref="B25"/>
    </sheetView>
  </sheetViews>
  <sheetFormatPr defaultRowHeight="15" x14ac:dyDescent="0.25"/>
  <cols>
    <col min="1" max="1" width="37.42578125" customWidth="1"/>
    <col min="2" max="2" width="30.140625" bestFit="1" customWidth="1"/>
    <col min="3" max="3" width="12.140625" bestFit="1" customWidth="1"/>
  </cols>
  <sheetData>
    <row r="1" spans="1:3" x14ac:dyDescent="0.25">
      <c r="A1" s="4" t="s">
        <v>0</v>
      </c>
      <c r="B1" s="4" t="s">
        <v>581</v>
      </c>
      <c r="C1" s="4" t="s">
        <v>582</v>
      </c>
    </row>
    <row r="2" spans="1:3" x14ac:dyDescent="0.25">
      <c r="A2" t="s">
        <v>26</v>
      </c>
      <c r="B2" t="s">
        <v>583</v>
      </c>
      <c r="C2" t="s">
        <v>6</v>
      </c>
    </row>
    <row r="3" spans="1:3" x14ac:dyDescent="0.25">
      <c r="A3" t="s">
        <v>27</v>
      </c>
      <c r="B3" t="s">
        <v>3</v>
      </c>
      <c r="C3" t="s">
        <v>584</v>
      </c>
    </row>
    <row r="4" spans="1:3" x14ac:dyDescent="0.25">
      <c r="A4" t="s">
        <v>28</v>
      </c>
      <c r="B4" t="s">
        <v>585</v>
      </c>
    </row>
    <row r="5" spans="1:3" x14ac:dyDescent="0.25">
      <c r="A5" t="s">
        <v>29</v>
      </c>
      <c r="B5" t="s">
        <v>586</v>
      </c>
    </row>
    <row r="6" spans="1:3" x14ac:dyDescent="0.25">
      <c r="A6" t="s">
        <v>30</v>
      </c>
      <c r="B6" t="s">
        <v>587</v>
      </c>
    </row>
    <row r="7" spans="1:3" x14ac:dyDescent="0.25">
      <c r="A7" t="s">
        <v>31</v>
      </c>
      <c r="B7" t="s">
        <v>588</v>
      </c>
    </row>
    <row r="8" spans="1:3" x14ac:dyDescent="0.25">
      <c r="A8" t="s">
        <v>32</v>
      </c>
      <c r="B8" t="s">
        <v>589</v>
      </c>
    </row>
    <row r="9" spans="1:3" x14ac:dyDescent="0.25">
      <c r="A9" t="s">
        <v>1</v>
      </c>
      <c r="B9" t="s">
        <v>590</v>
      </c>
    </row>
    <row r="10" spans="1:3" x14ac:dyDescent="0.25">
      <c r="A10" t="s">
        <v>33</v>
      </c>
      <c r="B10" t="s">
        <v>591</v>
      </c>
    </row>
    <row r="11" spans="1:3" x14ac:dyDescent="0.25">
      <c r="A11" t="s">
        <v>34</v>
      </c>
      <c r="B11" t="s">
        <v>592</v>
      </c>
    </row>
    <row r="12" spans="1:3" x14ac:dyDescent="0.25">
      <c r="A12" t="s">
        <v>35</v>
      </c>
      <c r="B12" t="s">
        <v>593</v>
      </c>
    </row>
    <row r="13" spans="1:3" x14ac:dyDescent="0.25">
      <c r="A13" t="s">
        <v>36</v>
      </c>
      <c r="B13" t="s">
        <v>594</v>
      </c>
    </row>
    <row r="14" spans="1:3" x14ac:dyDescent="0.25">
      <c r="A14" t="s">
        <v>37</v>
      </c>
      <c r="B14" t="s">
        <v>595</v>
      </c>
    </row>
    <row r="15" spans="1:3" x14ac:dyDescent="0.25">
      <c r="A15" t="s">
        <v>38</v>
      </c>
      <c r="B15" t="s">
        <v>596</v>
      </c>
    </row>
    <row r="16" spans="1:3" x14ac:dyDescent="0.25">
      <c r="B16" t="s">
        <v>597</v>
      </c>
    </row>
    <row r="17" spans="2:2" x14ac:dyDescent="0.25">
      <c r="B17" t="s">
        <v>598</v>
      </c>
    </row>
    <row r="18" spans="2:2" x14ac:dyDescent="0.25">
      <c r="B18" t="s">
        <v>599</v>
      </c>
    </row>
    <row r="19" spans="2:2" x14ac:dyDescent="0.25">
      <c r="B19" t="s">
        <v>600</v>
      </c>
    </row>
    <row r="20" spans="2:2" x14ac:dyDescent="0.25">
      <c r="B20" t="s">
        <v>601</v>
      </c>
    </row>
    <row r="21" spans="2:2" x14ac:dyDescent="0.25">
      <c r="B21" t="s">
        <v>602</v>
      </c>
    </row>
    <row r="22" spans="2:2" x14ac:dyDescent="0.25">
      <c r="B22" t="s">
        <v>603</v>
      </c>
    </row>
    <row r="23" spans="2:2" x14ac:dyDescent="0.25">
      <c r="B23" t="s">
        <v>604</v>
      </c>
    </row>
    <row r="24" spans="2:2" x14ac:dyDescent="0.25">
      <c r="B24" t="s">
        <v>714</v>
      </c>
    </row>
    <row r="25" spans="2:2" x14ac:dyDescent="0.25">
      <c r="B25" t="s">
        <v>605</v>
      </c>
    </row>
    <row r="26" spans="2:2" x14ac:dyDescent="0.25">
      <c r="B26" t="s">
        <v>606</v>
      </c>
    </row>
    <row r="27" spans="2:2" x14ac:dyDescent="0.25">
      <c r="B27" t="s">
        <v>607</v>
      </c>
    </row>
    <row r="28" spans="2:2" x14ac:dyDescent="0.25">
      <c r="B28" t="s">
        <v>608</v>
      </c>
    </row>
    <row r="29" spans="2:2" x14ac:dyDescent="0.25">
      <c r="B29" t="s">
        <v>609</v>
      </c>
    </row>
    <row r="30" spans="2:2" x14ac:dyDescent="0.25">
      <c r="B30" t="s">
        <v>610</v>
      </c>
    </row>
    <row r="31" spans="2:2" x14ac:dyDescent="0.25">
      <c r="B31" t="s">
        <v>611</v>
      </c>
    </row>
    <row r="32" spans="2:2" x14ac:dyDescent="0.25">
      <c r="B32" t="s">
        <v>612</v>
      </c>
    </row>
    <row r="33" spans="2:2" x14ac:dyDescent="0.25">
      <c r="B33" t="s">
        <v>613</v>
      </c>
    </row>
    <row r="34" spans="2:2" x14ac:dyDescent="0.25">
      <c r="B34" t="s">
        <v>614</v>
      </c>
    </row>
    <row r="35" spans="2:2" x14ac:dyDescent="0.25">
      <c r="B35" t="s">
        <v>615</v>
      </c>
    </row>
    <row r="36" spans="2:2" x14ac:dyDescent="0.25">
      <c r="B36" t="s">
        <v>616</v>
      </c>
    </row>
    <row r="37" spans="2:2" x14ac:dyDescent="0.25">
      <c r="B37" t="s">
        <v>617</v>
      </c>
    </row>
    <row r="38" spans="2:2" x14ac:dyDescent="0.25">
      <c r="B38" t="s">
        <v>618</v>
      </c>
    </row>
    <row r="39" spans="2:2" x14ac:dyDescent="0.25">
      <c r="B39" t="s">
        <v>619</v>
      </c>
    </row>
    <row r="40" spans="2:2" x14ac:dyDescent="0.25">
      <c r="B40" t="s">
        <v>620</v>
      </c>
    </row>
    <row r="41" spans="2:2" x14ac:dyDescent="0.25">
      <c r="B41" t="s">
        <v>621</v>
      </c>
    </row>
    <row r="42" spans="2:2" x14ac:dyDescent="0.25">
      <c r="B42" t="s">
        <v>622</v>
      </c>
    </row>
    <row r="43" spans="2:2" x14ac:dyDescent="0.25">
      <c r="B43" t="s">
        <v>623</v>
      </c>
    </row>
    <row r="44" spans="2:2" x14ac:dyDescent="0.25">
      <c r="B44" t="s">
        <v>624</v>
      </c>
    </row>
    <row r="45" spans="2:2" x14ac:dyDescent="0.25">
      <c r="B45" t="s">
        <v>625</v>
      </c>
    </row>
    <row r="46" spans="2:2" x14ac:dyDescent="0.25">
      <c r="B46" t="s">
        <v>626</v>
      </c>
    </row>
    <row r="47" spans="2:2" x14ac:dyDescent="0.25">
      <c r="B47" t="s">
        <v>627</v>
      </c>
    </row>
    <row r="48" spans="2:2" x14ac:dyDescent="0.25">
      <c r="B48" t="s">
        <v>628</v>
      </c>
    </row>
    <row r="49" spans="2:2" x14ac:dyDescent="0.25">
      <c r="B49" t="s">
        <v>629</v>
      </c>
    </row>
    <row r="50" spans="2:2" x14ac:dyDescent="0.25">
      <c r="B50" t="s">
        <v>630</v>
      </c>
    </row>
    <row r="51" spans="2:2" x14ac:dyDescent="0.25">
      <c r="B51" t="s">
        <v>631</v>
      </c>
    </row>
    <row r="52" spans="2:2" x14ac:dyDescent="0.25">
      <c r="B52" t="s">
        <v>631</v>
      </c>
    </row>
    <row r="53" spans="2:2" x14ac:dyDescent="0.25">
      <c r="B53" t="s">
        <v>632</v>
      </c>
    </row>
    <row r="54" spans="2:2" x14ac:dyDescent="0.25">
      <c r="B54" t="s">
        <v>633</v>
      </c>
    </row>
    <row r="55" spans="2:2" x14ac:dyDescent="0.25">
      <c r="B55" t="s">
        <v>634</v>
      </c>
    </row>
    <row r="56" spans="2:2" x14ac:dyDescent="0.25">
      <c r="B56" t="s">
        <v>635</v>
      </c>
    </row>
    <row r="57" spans="2:2" x14ac:dyDescent="0.25">
      <c r="B57" t="s">
        <v>636</v>
      </c>
    </row>
    <row r="58" spans="2:2" x14ac:dyDescent="0.25">
      <c r="B58" t="s">
        <v>637</v>
      </c>
    </row>
    <row r="59" spans="2:2" x14ac:dyDescent="0.25">
      <c r="B59" t="s">
        <v>638</v>
      </c>
    </row>
    <row r="60" spans="2:2" x14ac:dyDescent="0.25">
      <c r="B60" t="s">
        <v>639</v>
      </c>
    </row>
    <row r="61" spans="2:2" x14ac:dyDescent="0.25">
      <c r="B61" t="s">
        <v>640</v>
      </c>
    </row>
    <row r="62" spans="2:2" x14ac:dyDescent="0.25">
      <c r="B62" t="s">
        <v>641</v>
      </c>
    </row>
    <row r="63" spans="2:2" x14ac:dyDescent="0.25">
      <c r="B63" t="s">
        <v>642</v>
      </c>
    </row>
    <row r="64" spans="2:2" x14ac:dyDescent="0.25">
      <c r="B64" t="s">
        <v>643</v>
      </c>
    </row>
    <row r="65" spans="2:2" x14ac:dyDescent="0.25">
      <c r="B65" t="s">
        <v>644</v>
      </c>
    </row>
    <row r="66" spans="2:2" x14ac:dyDescent="0.25">
      <c r="B66" t="s">
        <v>645</v>
      </c>
    </row>
    <row r="67" spans="2:2" x14ac:dyDescent="0.25">
      <c r="B67" t="s">
        <v>646</v>
      </c>
    </row>
    <row r="68" spans="2:2" x14ac:dyDescent="0.25">
      <c r="B68" t="s">
        <v>647</v>
      </c>
    </row>
    <row r="69" spans="2:2" x14ac:dyDescent="0.25">
      <c r="B69" t="s">
        <v>648</v>
      </c>
    </row>
    <row r="70" spans="2:2" x14ac:dyDescent="0.25">
      <c r="B70" t="s">
        <v>649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playground</vt:lpstr>
      <vt:lpstr>playground_helper</vt:lpstr>
      <vt:lpstr>income</vt:lpstr>
      <vt:lpstr>expense</vt:lpstr>
      <vt:lpstr>actions</vt:lpstr>
      <vt:lpstr>values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Schmid</dc:creator>
  <cp:lastModifiedBy>David Schmid</cp:lastModifiedBy>
  <dcterms:created xsi:type="dcterms:W3CDTF">2015-06-05T18:17:20Z</dcterms:created>
  <dcterms:modified xsi:type="dcterms:W3CDTF">2024-05-31T20:15:14Z</dcterms:modified>
</cp:coreProperties>
</file>